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Python\Portfolio_DataAnalyst\portfolio_upload\Logistics &amp; Fintech COD Credit Scoring Model\1_Data Specification\"/>
    </mc:Choice>
  </mc:AlternateContent>
  <xr:revisionPtr revIDLastSave="0" documentId="13_ncr:1_{C21709A8-F2C9-471A-A57E-F03769ECA449}" xr6:coauthVersionLast="47" xr6:coauthVersionMax="47" xr10:uidLastSave="{00000000-0000-0000-0000-000000000000}"/>
  <bookViews>
    <workbookView xWindow="-98" yWindow="-98" windowWidth="21795" windowHeight="12975" xr2:uid="{55A070E0-4D26-4BA3-A6C0-678F3F5F0B13}"/>
  </bookViews>
  <sheets>
    <sheet name="Thống kê dữ liệu" sheetId="15" r:id="rId1"/>
    <sheet name="Chấm điểm dự kiến" sheetId="1" r:id="rId2"/>
    <sheet name="Define công thức" sheetId="3" state="hidden" r:id="rId3"/>
    <sheet name="Quản lý KH mới" sheetId="4" r:id="rId4"/>
    <sheet name="Sheet1" sheetId="11" state="hidden" r:id="rId5"/>
    <sheet name="Quản lý rủi ro" sheetId="12" r:id="rId6"/>
    <sheet name="Quản lý KH đã đăng ký dịch vụ" sheetId="7" state="hidden" r:id="rId7"/>
    <sheet name="Tính hạn mức KH" sheetId="2" r:id="rId8"/>
    <sheet name="Trạng thái đơn hàng" sheetId="13" r:id="rId9"/>
    <sheet name="Chia sẻ DT" sheetId="1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5" l="1"/>
  <c r="L5" i="15"/>
  <c r="J7" i="15"/>
  <c r="J8" i="15"/>
  <c r="L22" i="4" a="1"/>
  <c r="R39" i="1"/>
  <c r="Q39" i="1"/>
  <c r="M35" i="1"/>
  <c r="M37" i="1"/>
  <c r="M38" i="1"/>
  <c r="M36" i="1"/>
  <c r="M31" i="1"/>
  <c r="M32" i="1"/>
  <c r="M33" i="1"/>
  <c r="M34" i="1"/>
  <c r="M30" i="1"/>
  <c r="M25" i="1"/>
  <c r="M26" i="1"/>
  <c r="M27" i="1"/>
  <c r="M28" i="1"/>
  <c r="M29" i="1"/>
  <c r="M24" i="1"/>
  <c r="M21" i="1"/>
  <c r="M22" i="1"/>
  <c r="M20" i="1"/>
  <c r="M13" i="1"/>
  <c r="M14" i="1"/>
  <c r="M15" i="1"/>
  <c r="M16" i="1"/>
  <c r="M17" i="1"/>
  <c r="M18" i="1"/>
  <c r="M12" i="1"/>
  <c r="M6" i="1"/>
  <c r="M7" i="1"/>
  <c r="M8" i="1"/>
  <c r="M9" i="1"/>
  <c r="M10" i="1"/>
  <c r="M11" i="1"/>
  <c r="M5" i="1"/>
  <c r="H13" i="15"/>
  <c r="J52" i="15"/>
  <c r="J53" i="15"/>
  <c r="J54" i="15"/>
  <c r="J55" i="15"/>
  <c r="J36" i="15"/>
  <c r="J37" i="15"/>
  <c r="J38" i="15"/>
  <c r="J39" i="15"/>
  <c r="J40" i="15"/>
  <c r="J41" i="15"/>
  <c r="J42" i="15"/>
  <c r="L6" i="15" l="1"/>
  <c r="L7" i="15"/>
  <c r="L8" i="15"/>
  <c r="L9" i="15"/>
  <c r="L10" i="15"/>
  <c r="L11" i="15"/>
  <c r="J6" i="15"/>
  <c r="J9" i="15"/>
  <c r="J10" i="15"/>
  <c r="J11" i="15"/>
  <c r="J20" i="15"/>
  <c r="J21" i="15"/>
  <c r="J22" i="15"/>
  <c r="J23" i="15"/>
  <c r="J24" i="15"/>
  <c r="J25" i="15"/>
  <c r="J26" i="15"/>
  <c r="J27" i="15"/>
  <c r="C3" i="14"/>
  <c r="C2" i="14"/>
  <c r="H17" i="4"/>
  <c r="H19" i="4"/>
  <c r="H16" i="4"/>
  <c r="H9" i="4"/>
  <c r="M3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<sst xmlns="http://schemas.openxmlformats.org/spreadsheetml/2006/main" count="1024" uniqueCount="681">
  <si>
    <t>Thống kê dữ liệu</t>
  </si>
  <si>
    <t>STT</t>
  </si>
  <si>
    <t>Chỉ số</t>
  </si>
  <si>
    <t>Mô tả</t>
  </si>
  <si>
    <t>Các khoảng giá trị</t>
  </si>
  <si>
    <t>Số lượng shop</t>
  </si>
  <si>
    <t>Đơn vị thời gian</t>
  </si>
  <si>
    <t>Số lượng đơn hàng COD của 1 shop</t>
  </si>
  <si>
    <t>= Số đơn COD của 1 shop trong 1 tháng</t>
  </si>
  <si>
    <t>&lt; 60 đơn</t>
  </si>
  <si>
    <t>30 ngày (tính từ đầu tháng)</t>
  </si>
  <si>
    <t>Số lượng đơn COD trong 1 tháng</t>
  </si>
  <si>
    <t>60 - 100 đơn</t>
  </si>
  <si>
    <t>Khoảng</t>
  </si>
  <si>
    <t>Số lượng</t>
  </si>
  <si>
    <t>VTT khảo sát</t>
  </si>
  <si>
    <t>Thực tế</t>
  </si>
  <si>
    <t>Dữ liệu thực tế</t>
  </si>
  <si>
    <t>100 - 150 đơn</t>
  </si>
  <si>
    <t>150 - 200 đơn</t>
  </si>
  <si>
    <t>200 - 300 đơn</t>
  </si>
  <si>
    <t>100 - 200 đơn</t>
  </si>
  <si>
    <t>300 - 400 đơn</t>
  </si>
  <si>
    <t>400 - 500 đơn</t>
  </si>
  <si>
    <t>&gt;= 500 đơn</t>
  </si>
  <si>
    <t>Trung bình giá trị đơn hàng COD của 1 shop</t>
  </si>
  <si>
    <t>= Tổng giá trị đơn COD trong 1 tháng / số đơn COD trong 1 tháng</t>
  </si>
  <si>
    <t>&lt; 100k</t>
  </si>
  <si>
    <t>100 - 200k</t>
  </si>
  <si>
    <t>200 - 300k</t>
  </si>
  <si>
    <t>300 - 400k</t>
  </si>
  <si>
    <t>400 - 600k</t>
  </si>
  <si>
    <t>600 - 800k</t>
  </si>
  <si>
    <t>800 - 1000k</t>
  </si>
  <si>
    <t>Trung bình giá trị đơn COD</t>
  </si>
  <si>
    <t>&gt;= 1000k</t>
  </si>
  <si>
    <t>Tần suất gửi hàng COD của 1 shop</t>
  </si>
  <si>
    <t>= Số ngày có đơn COD trong 1 tháng  / 30</t>
  </si>
  <si>
    <t>&lt; 80%</t>
  </si>
  <si>
    <t>Percentage</t>
  </si>
  <si>
    <t>80-90%</t>
  </si>
  <si>
    <t>90-100%</t>
  </si>
  <si>
    <t>Tỷ lệ giao hàng thành công của đơn hàng COD của 1 shop</t>
  </si>
  <si>
    <t>= Số lượng đơn COD giao thành công trong 1 tháng / số lượng đơn COD trong 1 tháng</t>
  </si>
  <si>
    <t>&lt; 85%</t>
  </si>
  <si>
    <t>85 - 87%</t>
  </si>
  <si>
    <t>87 - 90%</t>
  </si>
  <si>
    <t>90 - 92%</t>
  </si>
  <si>
    <t>92 - 95%</t>
  </si>
  <si>
    <t>95 - 97%</t>
  </si>
  <si>
    <t>97-100%</t>
  </si>
  <si>
    <t xml:space="preserve">Tỷ lệ đơn hàng COD của 1 shop </t>
  </si>
  <si>
    <t>= Số lượng đơn COD trong 1 tháng / số lượng đơn trong 1 tháng</t>
  </si>
  <si>
    <t>&lt; 20%</t>
  </si>
  <si>
    <t>20-40%</t>
  </si>
  <si>
    <t>40-60%</t>
  </si>
  <si>
    <t>60-80%</t>
  </si>
  <si>
    <t>&gt;= 80%</t>
  </si>
  <si>
    <t>Tỉ lệ giao hàng thành công</t>
  </si>
  <si>
    <t>Tuổi shop</t>
  </si>
  <si>
    <t>= ngày hiện tại - ngày phát sinh đơn đầu tiên</t>
  </si>
  <si>
    <t>&lt; 3 tháng</t>
  </si>
  <si>
    <t>3- 6 tháng</t>
  </si>
  <si>
    <t>6-12 tháng</t>
  </si>
  <si>
    <t>&gt;= 12 tháng</t>
  </si>
  <si>
    <t>&gt;= 97%</t>
  </si>
  <si>
    <t>Phân bố tuổi</t>
  </si>
  <si>
    <t>CHỈ SỐ BÀI TOÁN ỨNG COD VIETTEL POST</t>
  </si>
  <si>
    <t>Mục tiêu 1: Lọc ra danh sách KH đủ điều kiện sử dụng dịch vụ</t>
  </si>
  <si>
    <t>Features</t>
  </si>
  <si>
    <t>Trọng số</t>
  </si>
  <si>
    <t>Trường dữ liệu</t>
  </si>
  <si>
    <t>Công thức tính</t>
  </si>
  <si>
    <t>Các khoảng dữ liệu</t>
  </si>
  <si>
    <t>Điểm quản trị rủi ro</t>
  </si>
  <si>
    <t>Trường dữ liệu raw</t>
  </si>
  <si>
    <t>Số lượng đơn hàng COD của 1 shop (1)</t>
  </si>
  <si>
    <t>order_cod_number</t>
  </si>
  <si>
    <t>= sum(totalCountCod)</t>
  </si>
  <si>
    <t>loại</t>
  </si>
  <si>
    <t>Mã shop: shop_id
Mã đơn hàng: order_id
Ngày phát sinh đơn hàng: created_date</t>
  </si>
  <si>
    <t>30 ngày</t>
  </si>
  <si>
    <t>Mức độ hoạt động của shop</t>
  </si>
  <si>
    <t>60 -&gt;</t>
  </si>
  <si>
    <t>cắt ngưỡng</t>
  </si>
  <si>
    <t>Trung bình giá trị đơn hàng COD của một shop (2)</t>
  </si>
  <si>
    <t>order_average_amount</t>
  </si>
  <si>
    <t>= sum(totalAmountCod) / sum(totalCountCod)</t>
  </si>
  <si>
    <t>Mã shop: shop_id
Mã đơn hàng: order_id
Ngày phát sinh đơn hàng: created_date
Số tiền thu hộ mỗi đơn hàng: order_value</t>
  </si>
  <si>
    <t>Giá trị đơn hàng trung bình: Cao -&gt; thấp</t>
  </si>
  <si>
    <t>đảo ngược</t>
  </si>
  <si>
    <t>Tần suất gửi hàng COD (3)</t>
  </si>
  <si>
    <t>frequency_COD_order</t>
  </si>
  <si>
    <t>= tổng số ngày có đơn COD / 30</t>
  </si>
  <si>
    <t>Tỷ lệ giao hàng thành công của đơn hàng COD của 1 shop (4)</t>
  </si>
  <si>
    <t>delivery_success</t>
  </si>
  <si>
    <t>= sum(totalCountSuccessCod) / sum(totalCountCod)</t>
  </si>
  <si>
    <t>Mã shop: shop_id
Mã đơn hàng: order_id
Ngày phát sinh đơn hàng: created_date
Trạng thái đơn hành: status</t>
  </si>
  <si>
    <t>Từ 95%</t>
  </si>
  <si>
    <t>kiểm tra lại phân phối, từ 90%</t>
  </si>
  <si>
    <t>Tỷ lệ đơn hàng COD của 1 shop (5)</t>
  </si>
  <si>
    <t>COD_ratio</t>
  </si>
  <si>
    <t>= sum(totalCountCod) / total(totalOrders)</t>
  </si>
  <si>
    <t>1-20%</t>
  </si>
  <si>
    <t>Mã shop: shop_id
Mã đơn hàng: order_id
Ngày phát sinh đơn hàng: created_date
Ngày khách hàng ứng COD: UNGCOD_date</t>
  </si>
  <si>
    <t>21-40%</t>
  </si>
  <si>
    <t>41-60%</t>
  </si>
  <si>
    <t>61-80%</t>
  </si>
  <si>
    <t>81-100%</t>
  </si>
  <si>
    <t>Tuổi shop (6)</t>
  </si>
  <si>
    <t>shopAge</t>
  </si>
  <si>
    <t>= ngay_hien_tai - ngay_ps_don_dautien</t>
  </si>
  <si>
    <t>Trên 12 tháng</t>
  </si>
  <si>
    <t>min</t>
  </si>
  <si>
    <t>max</t>
  </si>
  <si>
    <t>TỔNG ĐIỂM</t>
  </si>
  <si>
    <t>=(1)*0,2 + (2) *0,3+ (3) *0,1 +(4) *0,15 + (5)*0,05 + (6)*0,2</t>
  </si>
  <si>
    <t>Hệ số điều chỉnh theo thời gian</t>
  </si>
  <si>
    <t>Hệ số điều chỉnh</t>
  </si>
  <si>
    <t>Note</t>
  </si>
  <si>
    <t>Tuổi shop (1)</t>
  </si>
  <si>
    <t xml:space="preserve"> = 6/tuổi shop
(Điểm tối thiểu = 1; Điểm tối đa = 2)
VD: Shop có tuổi shop là 4 tháng, vậy hệ số điều chỉnh của tuổi shop = 6/4 = 1,5)</t>
  </si>
  <si>
    <t>Tổng điểm</t>
  </si>
  <si>
    <t xml:space="preserve"> = 5/tuổi shop
(Điểm tối thiểu = 0,4; Điểm tối đa = 0,7)
VD: Shop có tuổi shop là 10 tháng, vậy hệ số điều chỉnh của tuổi shop = 510/ = 0,5)</t>
  </si>
  <si>
    <t xml:space="preserve"> = 4,5/tuổi shop
(Điểm tối đa = 0,375; Điểm tối thiểu = 0,1)
VD: Shop có tuổi shop là 14 tháng, vậy hệ số điều chỉnh của tuổi shop = 4,5/14 = 0,32)</t>
  </si>
  <si>
    <t>Tổng số lượng đơn hàng của 1 shop (2)</t>
  </si>
  <si>
    <t>100-200 đơn</t>
  </si>
  <si>
    <t>= 200/số đơn
(Điểm tối thiểu = 1; Điểm tối đa = 2)</t>
  </si>
  <si>
    <t>201-450 đơn</t>
  </si>
  <si>
    <t>= 195/ số đơn
(Điểm tối thiểu = 0,43; Điểm tối đa = 0,97)</t>
  </si>
  <si>
    <t>451-600 đơn</t>
  </si>
  <si>
    <t>= 190/số đơn 
(Điểm tối thiểu =0,316 ; Điểm tối đa: 0,42)</t>
  </si>
  <si>
    <t>&gt; 600 đơn</t>
  </si>
  <si>
    <t>=185/ số đơn
(Điểm tối thiểu: 0.1; Điểm tối đa: 0.308)</t>
  </si>
  <si>
    <t>Giá trị trung bình mỗi đơn hàng trong 1 tháng (3)</t>
  </si>
  <si>
    <t>=&lt; 300k</t>
  </si>
  <si>
    <t>= 0,0012*giá trị trung bình mỗi đơn (tính lũy kế)</t>
  </si>
  <si>
    <t xml:space="preserve"> &gt; 300k và =&lt; 500k</t>
  </si>
  <si>
    <t>= 0,0014*giá trị trung bình mỗi đơn (tính lũy kế)</t>
  </si>
  <si>
    <t xml:space="preserve"> &gt;500k và =&lt; 800k</t>
  </si>
  <si>
    <t>= 0,002*giá trị trung bình mỗi đơn (tính lũy kế)</t>
  </si>
  <si>
    <t xml:space="preserve"> &gt;800 và =&lt; 1tr2</t>
  </si>
  <si>
    <t>= 0,0025*giá trị trung bình mỗi đơn (tính lũy kế)
VD: Với đơn hàng có giá trị trung bình là 1tr1, hệ số điều chỉnh của đơn hàng:
(0,0012*300) + (0,0014*200) + (0,002*300) + (0,0025*3001,99) = 1,99</t>
  </si>
  <si>
    <t>Tần suất gửi hàng của 1 shop (4)</t>
  </si>
  <si>
    <t>40-50%</t>
  </si>
  <si>
    <t>1,5 - 2 điểm</t>
  </si>
  <si>
    <t>51-70%</t>
  </si>
  <si>
    <t>1-1,5 điểm</t>
  </si>
  <si>
    <t>71-90%</t>
  </si>
  <si>
    <t>0,5-1,5 điểm</t>
  </si>
  <si>
    <t>91-100%</t>
  </si>
  <si>
    <t>0,1-0,5 điểm</t>
  </si>
  <si>
    <t>Loại mặt hàng (5)</t>
  </si>
  <si>
    <t>Hàng</t>
  </si>
  <si>
    <t xml:space="preserve">Thư </t>
  </si>
  <si>
    <t>Kiện</t>
  </si>
  <si>
    <t>Tổng điểm hệ số điều chỉnh</t>
  </si>
  <si>
    <t xml:space="preserve"> = (1)*0,25 + (2)*0,20  + (3)*0,35 + (4)*0,1 + (5)*0,1</t>
  </si>
  <si>
    <t>Tổng điểm qua thời gian</t>
  </si>
  <si>
    <t xml:space="preserve"> = Tổng điểm * ( Tổng điểm hệ số điều chỉnh theo thời gian)</t>
  </si>
  <si>
    <t xml:space="preserve">Ngưỡng loại trừ </t>
  </si>
  <si>
    <t>Điều kiện</t>
  </si>
  <si>
    <t>Ngưỡng loại trừ</t>
  </si>
  <si>
    <t>Số lượng khách hàng có trên 3 đơn hàng của 1 shop (nhóm A)/ngày</t>
  </si>
  <si>
    <t>A = SUM(recipientsMoreAOfDay)  trong 30 ngày
Tổng KH = sum(recipientsOfDay) trong 30 ngày</t>
  </si>
  <si>
    <t>Tỷ lệ nhóm A trên tổng số lượng khách hàng</t>
  </si>
  <si>
    <t>Tỷ lệ nhóm A/tổng khách hàng vượt quá 5% =&gt; không ứng</t>
  </si>
  <si>
    <t>Tỷ lệ giá trị COD của nhóm A trên tổng giá trị COD của shop</t>
  </si>
  <si>
    <t>Tỷ lệ giá trị COD của nhóm A/tổng giá trị COD của shop vượt quá 60% =&gt; không ứng</t>
  </si>
  <si>
    <t>tạm bỏ</t>
  </si>
  <si>
    <t>Số lượng đơn hàng COD của 1 shop/tháng</t>
  </si>
  <si>
    <t>Dưới 300 đơn, tổng điểm bằng 0 =&gt; không ứng</t>
  </si>
  <si>
    <t>Trung bình giá trị đơn hàng COD của một shop/tháng</t>
  </si>
  <si>
    <t>Dưới  400k , tổng điểm bằng 0 =&gt; không ứng</t>
  </si>
  <si>
    <t>Tần suất gửi hàng COD của 1 shop/tháng</t>
  </si>
  <si>
    <t>Tần suất gửi hàng &lt;80%, tổng điểm bằng 0 hay shop không được ứng COD</t>
  </si>
  <si>
    <t>Tỷ lệ giao hàng thành công của đơn hàng COD của 1 shop/tháng</t>
  </si>
  <si>
    <t>Tỷ lệ giao hàng thành công &lt; 95% thì tổng điểm bằng 0 hay shop không được ứng</t>
  </si>
  <si>
    <t>Tuổi shop &lt; 3 tháng, tổng điểm bằng 0 hay shop không được ứng COD</t>
  </si>
  <si>
    <t>&lt; 5</t>
  </si>
  <si>
    <t>BẢNG DỮ LIỆU eKYC KHÁCH HÀNG ỨNG COD 
(Dữ liệu tổng hợp theo tháng)</t>
  </si>
  <si>
    <t>Tên trường</t>
  </si>
  <si>
    <t>Tần suất tổng hợp dữ liệu</t>
  </si>
  <si>
    <t>shop_id</t>
  </si>
  <si>
    <t>Mã shop</t>
  </si>
  <si>
    <t>1 tháng 1 lần</t>
  </si>
  <si>
    <t>month</t>
  </si>
  <si>
    <t>Tháng</t>
  </si>
  <si>
    <t>Tổng hợp theo tháng, trong 3 tháng gần nhất</t>
  </si>
  <si>
    <t>order_COD_number</t>
  </si>
  <si>
    <t xml:space="preserve">Số lượng đơn hàng COD của 1 shop </t>
  </si>
  <si>
    <t xml:space="preserve">Số lượng đơn hàng COD phát sinh trong 1 tháng </t>
  </si>
  <si>
    <t>COD_amount</t>
  </si>
  <si>
    <t xml:space="preserve">Tổng giá trị đơn hàng COD của một shop </t>
  </si>
  <si>
    <t>Tổng giá trị những đơn hàng COD phát sinh trong 1 tháng</t>
  </si>
  <si>
    <t xml:space="preserve">Tần suất gửi hàng COD của 1 shop </t>
  </si>
  <si>
    <t>Số ngày có phát sinh gửi đơn hàng COD / 30</t>
  </si>
  <si>
    <t>delivery_sucess</t>
  </si>
  <si>
    <t xml:space="preserve">Tỷ lệ giao hàng thành công của đơn hàng COD của 1 shop </t>
  </si>
  <si>
    <t>Số đơn hàng COD được giao thành công và thanh toán thành công trong 1 tháng / Tổng số đơn hàng COD trong 1 tháng shop phát sinh</t>
  </si>
  <si>
    <t>tuổi shop</t>
  </si>
  <si>
    <t>Số lượng đơn hàng COD trong 1 tháng / Tổng số lượng đơn hàng trong 1 tháng shop phát sinh</t>
  </si>
  <si>
    <t>ageShop</t>
  </si>
  <si>
    <t xml:space="preserve">Tuổi shop </t>
  </si>
  <si>
    <t xml:space="preserve">Ngày hiện tại - Ngày shop phát sinh đơn hàng đầu tiên </t>
  </si>
  <si>
    <t>order_number</t>
  </si>
  <si>
    <t xml:space="preserve">Tổng số lượng đơn hàng của 1 shop </t>
  </si>
  <si>
    <t>Tổng số lượng đơn hàng được giao thành công và thanh toán thành công trong 1 tháng</t>
  </si>
  <si>
    <t>order_value_70</t>
  </si>
  <si>
    <t xml:space="preserve">Giá trị đơn hàng ở vị trí 70% percentile trong tháng </t>
  </si>
  <si>
    <t>Gía trị đơn hàng đứng ở vị trí thứ 70 % percentile trong tháng đó theo chiều sort từ thấp đến cao</t>
  </si>
  <si>
    <t>order_average_value</t>
  </si>
  <si>
    <t>Gía trị trung bình đơn hàng trong tháng</t>
  </si>
  <si>
    <t>Tổng giá trị đơn hàng trong 1 tháng/ Tổng số lượng đơn hàng trong 1 tháng shop phát sinh</t>
  </si>
  <si>
    <t>frequency_order</t>
  </si>
  <si>
    <t xml:space="preserve">Tần suất gửi hàng của 1 shop </t>
  </si>
  <si>
    <t>Số ngày có phát sinh đơn hàng gửi/ Số ngày trong tháng</t>
  </si>
  <si>
    <t>score</t>
  </si>
  <si>
    <t>Điểm tổng hợp</t>
  </si>
  <si>
    <t>limit</t>
  </si>
  <si>
    <t>Hạn mức</t>
  </si>
  <si>
    <t>Lấy giá trị COD của ngày có tổng giá trị đơn hàng COD cao thứ 21 trong tháng. 
Trong trường hợp giá trị thứ 21 của tháng thứ 3 tăng so với hai tháng trước, giá trị COD bằng trung bình giá trị thứ 21 của 3 tháng. Trong trường hợp giá trị thứ 21 của tháng thứ 3 giảm so với hai tháng trước thì lấy tháng thấp nhất.</t>
  </si>
  <si>
    <t>BẢNG DỮ LIỆU ĐO LƯỜNG VẬN HÀNH
(Dữ liệu tổng hợp theo ngày)</t>
  </si>
  <si>
    <t>Mô tả trường</t>
  </si>
  <si>
    <t xml:space="preserve">Mã shop </t>
  </si>
  <si>
    <t>1 ngày 1 lần</t>
  </si>
  <si>
    <t>combined_Date</t>
  </si>
  <si>
    <t>Ngày tổng hợp</t>
  </si>
  <si>
    <t>cod_date</t>
  </si>
  <si>
    <t>Ngày khách hàng ứng COD</t>
  </si>
  <si>
    <t>COD_rate_used</t>
  </si>
  <si>
    <t>Tỷ lệ số tiền ứng COD được sử dụng</t>
  </si>
  <si>
    <t>Số tiền khách hàng đang ứng / Số tiền COD khách hàng đang gửi</t>
  </si>
  <si>
    <t>time_no_use_COD</t>
  </si>
  <si>
    <t>Thời gian KH không sử dụng tiền ứng</t>
  </si>
  <si>
    <t>Ngày đánh giá - Ngày KH nhận tiền ứng COD</t>
  </si>
  <si>
    <t>back_rate</t>
  </si>
  <si>
    <t>Tỷ lệ hoàn đơn</t>
  </si>
  <si>
    <t>Đơn hoàn / Tổng đơn COD</t>
  </si>
  <si>
    <t>=&gt; Cập nhật lại vào bảng order: KH rủi ro</t>
  </si>
  <si>
    <t>- Số tiền khách hàng đang ứng/Số tiền COD khách hàng đang gửi &gt; 100%
'- Today - Ngày KH nhận tiền ứng COD &gt; 5 ngày
'- Đơn hoàn/Tổng đơn COD &gt; 8%
- Số tiền KH đang ứng/Tổng hạn mức = 100%
- Số đơn hoàn không thành công &gt;= 1</t>
  </si>
  <si>
    <t>raw DB: order_log
Mô tả: Là raw data; Phục vụ tính toán KH dủ điều kiện đăng ký dịch vụ</t>
  </si>
  <si>
    <t>DB: shop_log (tổng hợp theo ngày)
Mô tả: Bảng tổng hợp giao dịch của KH -&gt; Đánh giá KH đủ điều kiện đăng ký dịch vụ</t>
  </si>
  <si>
    <t>BẢNG DỮ LIỆU eKYC KHÁCH HÀNG ỨNG COD 
Dữ liệu tổng hợp theo tháng (30 ngày trước update_date)
DB: synchronized_customers</t>
  </si>
  <si>
    <t>trường dữ liệu</t>
  </si>
  <si>
    <t>CÔNG THỨC TÍNH MỚI</t>
  </si>
  <si>
    <t>Filter</t>
  </si>
  <si>
    <t>Tên file</t>
  </si>
  <si>
    <t>Ngày tạo bản ghi</t>
  </si>
  <si>
    <t>ma_phieugui</t>
  </si>
  <si>
    <t>Mã đơn </t>
  </si>
  <si>
    <t>COD-001-haslvshay </t>
  </si>
  <si>
    <t>idCustomer</t>
  </si>
  <si>
    <t>ABC123_VTP</t>
  </si>
  <si>
    <t>Mã shop </t>
  </si>
  <si>
    <t>select</t>
  </si>
  <si>
    <t>ngay_gui_bp</t>
  </si>
  <si>
    <t>Ngày phát sinh đơn nhập máy</t>
  </si>
  <si>
    <t>01/12/2023 </t>
  </si>
  <si>
    <t>createdDate</t>
  </si>
  <si>
    <t xml:space="preserve">Ngày tạo </t>
  </si>
  <si>
    <t>ngày log bản ghi</t>
  </si>
  <si>
    <t>date range</t>
  </si>
  <si>
    <t>cus_id</t>
  </si>
  <si>
    <t>ma_kh, ma_kh_vtp</t>
  </si>
  <si>
    <t>a123 </t>
  </si>
  <si>
    <t>Tuổi shop (count theo tháng)</t>
  </si>
  <si>
    <t xml:space="preserve">=ngày hiện tại  - ngày phát sinh đơn đầu tiên </t>
  </si>
  <si>
    <t>number</t>
  </si>
  <si>
    <t>update_date</t>
  </si>
  <si>
    <t xml:space="preserve">ngày cập nhật dữ liệu </t>
  </si>
  <si>
    <t>diachi_khgui</t>
  </si>
  <si>
    <t>Địa chỉ gửi</t>
  </si>
  <si>
    <t>Cầu Giấy, Hà Nội</t>
  </si>
  <si>
    <t>totalOrder</t>
  </si>
  <si>
    <t>Tổng đơn (COD+ non COD)/ngày</t>
  </si>
  <si>
    <t xml:space="preserve"> </t>
  </si>
  <si>
    <t>count distinct (ma_phieugui)
where ngay_gui_bp = filename_date</t>
  </si>
  <si>
    <t>range</t>
  </si>
  <si>
    <t>Số lượng đơn COD của 1 shop</t>
  </si>
  <si>
    <t xml:space="preserve"> = groupby(cus_id).sum(totalCountCod)</t>
  </si>
  <si>
    <t>id_quanhuyen</t>
  </si>
  <si>
    <t>ID quận huyện gửi</t>
  </si>
  <si>
    <t>totalOrderSuccess</t>
  </si>
  <si>
    <t>Số lượng đơn giao thành công/ngày</t>
  </si>
  <si>
    <t>orders[(orders['Ngay phat hang thanh cong'].notnull()) &amp; (orders['Trang thai van chuyen'] == '501')]['Ma don hang'].count()
            #Doanh thu</t>
  </si>
  <si>
    <t>count distinct(ma_phieugui)
where trangthai_vanchuyen= 501 and ngay_chuyen_trangthai = filename_date</t>
  </si>
  <si>
    <t>Tổng giá trị COD</t>
  </si>
  <si>
    <t>=  sum(totalAmountCod)</t>
  </si>
  <si>
    <t>ten_quanhuyen</t>
  </si>
  <si>
    <t>Tên quận huyện gửi</t>
  </si>
  <si>
    <t>revenue</t>
  </si>
  <si>
    <t>Doanh thu sử dụng dv trong ngày (tổng Cước)</t>
  </si>
  <si>
    <t xml:space="preserve">            revenue = orders['Tien thu ho'] + orders['Tien cuoc van chuyen']</t>
  </si>
  <si>
    <t>sum(thu_ho)
where ngay_gui_bp = filename_date</t>
  </si>
  <si>
    <t xml:space="preserve">df.drop_duplicates(subset = ['ma_khgui', 'ma_kh_vtp', 'ma_phieugui'])
sum(thu_ho)
where ngay_gui_bp = filename_date </t>
  </si>
  <si>
    <t>Tần suất gửi hàng COD = só ngày phát sinh đơn COD / 30</t>
  </si>
  <si>
    <t>số ngày phát sinh đơn COD = count(createDate) where totalCountCod &gt; 0</t>
  </si>
  <si>
    <t>tinh_goc</t>
  </si>
  <si>
    <t>ID tỉnh/ thành phố gửi</t>
  </si>
  <si>
    <t>recipientsOfDay</t>
  </si>
  <si>
    <t>Số lượng người nhận/ngày</t>
  </si>
  <si>
    <t xml:space="preserve">            recipients_of_day = orders['SDT nguoi nhan'].nunique()</t>
  </si>
  <si>
    <t>count distinct (tel_khnhan)
where ngay_gui_bp = filename_date</t>
  </si>
  <si>
    <t>Tỉ lệ dơn giao thành công</t>
  </si>
  <si>
    <t xml:space="preserve"> = sum(totalCountSuccesCod) / sum(totalCountCod)</t>
  </si>
  <si>
    <t>ma_buucuc_goc</t>
  </si>
  <si>
    <t>Mã bưu cục gốc</t>
  </si>
  <si>
    <t>CG-001</t>
  </si>
  <si>
    <t>recipientsMoreAOfDay</t>
  </si>
  <si>
    <t>Số lượng người nhận quá a đơn/ngày (a = 3)</t>
  </si>
  <si>
    <t xml:space="preserve">            recipients_moreaof_day = orders[(orders['SDT nguoi nhan'].groupby(orders['Ma don hang']).count() &gt; 3)]</t>
  </si>
  <si>
    <t xml:space="preserve">
group by tel_khnhan
count(ma_phieugui) as quantity
having quantity &gt; a</t>
  </si>
  <si>
    <t>group by tel_khnhan
count distinct (ma_phieugui) as quantity
having quantity &gt; a</t>
  </si>
  <si>
    <t>Tỉ lệ dơn COD</t>
  </si>
  <si>
    <t xml:space="preserve"> = sum(totalCountCod) / sum(totalOrders)</t>
  </si>
  <si>
    <t>ma_nv_buuta_nhan</t>
  </si>
  <si>
    <t>Bưu tá nhận</t>
  </si>
  <si>
    <t>AWH-001</t>
  </si>
  <si>
    <t>totalCountCod</t>
  </si>
  <si>
    <t>Số lượng đơn COD/ngày</t>
  </si>
  <si>
    <t xml:space="preserve">            total_count_cod = orders[orders['Loai don hang'] == 'COD']['Ma don hang'].count()</t>
  </si>
  <si>
    <t xml:space="preserve">count (ma_phieugui)
where loai_don = 'COD' and ngay_gui_bp = filename_date </t>
  </si>
  <si>
    <t xml:space="preserve">count distinct (ma_phieugui)
where loai_don = 'COD' and ngay_gui_bp = filename_date </t>
  </si>
  <si>
    <t>diachi_khnhan</t>
  </si>
  <si>
    <t>Địa chỉ người nhận</t>
  </si>
  <si>
    <t>Láng Thượng, Đống Đa</t>
  </si>
  <si>
    <t>totalCountSuccessCod</t>
  </si>
  <si>
    <t>Số lượng đơn COD giao thành công/ngày</t>
  </si>
  <si>
    <t xml:space="preserve">            total_count_success_cod = orders[(orders['Loai don hang'] == 'COD') &amp; (orders['Ngay phat hang thanh cong'].notnull()) &amp; (orders['Trang thai van chuyen'] == '501')]['Ma don hang'].count()</t>
  </si>
  <si>
    <t>count(ma_phieugui)
where loai_don = 'COD'  and trangthai_vanchuyen = 501 and ngay_chuyen_trangthai = filename_date</t>
  </si>
  <si>
    <t>count distinct (ma_phieugui)
where loai_don = 'COD'  and trangthai_vanchuyen = 501 and ngay_chuyen_trangthai = filename_date</t>
  </si>
  <si>
    <t>giá trị trung bình đơn hàng COD trong tháng</t>
  </si>
  <si>
    <t xml:space="preserve"> = sum(totalAmountCod) / sum(totalCountCod)</t>
  </si>
  <si>
    <t>tel_khnhan</t>
  </si>
  <si>
    <t>Sđt người nhận</t>
  </si>
  <si>
    <t>092-xxx-xxxx</t>
  </si>
  <si>
    <t>totalCountRefundSuccessCod</t>
  </si>
  <si>
    <t>Số lượng đơn hàng COD hoàn thành công/ngày </t>
  </si>
  <si>
    <t xml:space="preserve">            total_count_refund_success_cod = orders[orders['Trang thai van chuyen'] == '504']['Ma don hang'].count()</t>
  </si>
  <si>
    <t>count(ma_phieugui)
where loai_don  = 'COD' and trangthai_vanchuyen = 504 and ngay_chuyen_trangthai = filename_date</t>
  </si>
  <si>
    <t>count distinct (ma_phieugui)
where loai_don  = 'COD' and trangthai_vanchuyen = 504 and ngay_chuyen_trangthai = filename_date</t>
  </si>
  <si>
    <t>Tần suất gửi hàng  = số ngày phát sinh đơn / 30</t>
  </si>
  <si>
    <t>số ngày phát sinh đơn = count(createDate) where totalOrders &gt; 0</t>
  </si>
  <si>
    <t>tinh_phat</t>
  </si>
  <si>
    <t>ID tỉnh/ thành phố nhận</t>
  </si>
  <si>
    <t>HNI</t>
  </si>
  <si>
    <t>totalCountRefundFailureCod</t>
  </si>
  <si>
    <t>Số lượng đơn hàng COD hoàn không thành công/ngày</t>
  </si>
  <si>
    <t>count(ma_phieugui)
where loai_don = 'COD' and trangthai_vanchuyen in [506, 507] and ngay_chuyen_trangthai = filename_date</t>
  </si>
  <si>
    <t>count distinct (ma_phieugui)
where loai_don = 'COD' and trangthai_vanchuyen = 503 and ngay_chuyen_trangthai = filename_date and (now() - ngay_gui_bp) &gt; 30 days</t>
  </si>
  <si>
    <t>qualified</t>
  </si>
  <si>
    <t>Gán nhãn KH đủ điều kiện đăng ký dịch vụ (0| 1)</t>
  </si>
  <si>
    <t>rule tính điểm trong bảng "chấm điểm dự kiến" , default = 0</t>
  </si>
  <si>
    <t>trong_luong</t>
  </si>
  <si>
    <t>Trọng lượng hàng hóa</t>
  </si>
  <si>
    <t>2000g</t>
  </si>
  <si>
    <t>totalAmountCod</t>
  </si>
  <si>
    <t>Tổng giá trị COD/ngày</t>
  </si>
  <si>
    <t xml:space="preserve">            total_cod_amount = orders[orders['Loai don hang'] == 'COD']['Tien thu ho'].sum()</t>
  </si>
  <si>
    <t>sum(thu_ho)
where loai_don = 'COD' and ngay_gui_bp = filename_date</t>
  </si>
  <si>
    <t>df.drop_duplicates(subset = ['ma_khgui', 'ma_kh_vtp', 'ma_phieugui'])
sum(thu_ho)
where loai_don = 'COD' and ngay_gui_bp = filename_date</t>
  </si>
  <si>
    <t>điểm tổng hợp</t>
  </si>
  <si>
    <t>loai_dơn</t>
  </si>
  <si>
    <t>Loại đơn (COD / Non-COD)</t>
  </si>
  <si>
    <t>totalAmountSuccessCod</t>
  </si>
  <si>
    <t>Tổng giá trị COD giao thành công/ngày</t>
  </si>
  <si>
    <t xml:space="preserve">            totol_success_cod_amount = orders[(orders['Loai don hang'] == 'COD') &amp; (orders['Ngay phat hang thanh cong'].notnull()) &amp; (orders['Trang thai van chuyen'] == '501')]['Tien thu ho'].sum()</t>
  </si>
  <si>
    <t>sum(thu_ho)
where loai_don = 'COD'  and trangthai_vanchuyen = 501 and ngay_chuyen_trangthai = filename_date</t>
  </si>
  <si>
    <t>df.drop_duplicates(subset = ['ma_khgui', 'ma_kh_vtp', 'ma_phieugui', 'trangthai_vanchuyen', 'ngaychuyen_trangthai'])
sum(thu_ho)
where loai_don = 'COD'  and trangthai_vanchuyen = 501 and ngay_chuyen_trangthai = filename_date</t>
  </si>
  <si>
    <t>Hạn mức tháng</t>
  </si>
  <si>
    <t>Hạn mức ngày x 4
Hạn mức ngày = 80% percentile (tổng giá trị đơn hàng COD của từng ngày trong tháng trước, COD &gt; 0)</t>
  </si>
  <si>
    <t>ben_tra_phi_vanchuyen</t>
  </si>
  <si>
    <t>Bên trả phí vận chuyển</t>
  </si>
  <si>
    <t>0/1 (0: người gửi/1: người nhận)</t>
  </si>
  <si>
    <t>totalCountGreaterThanCod</t>
  </si>
  <si>
    <t xml:space="preserve">Số lượng đơn COD có giá trị lớn hơn 3.500.000/ngày </t>
  </si>
  <si>
    <t xml:space="preserve">            total_amount_cod = orders[orders['Tien thu ho'] &gt; 3500000]['Ma don hang'].count()</t>
  </si>
  <si>
    <t>count(ma_phieugui)
where loai_don = 'COD'  and thu_ho  &gt; 3500000 and ngay_gui_bp = filename_date</t>
  </si>
  <si>
    <t>count distinct (ma_phieugui)
where loai_don = 'COD'  and thu_ho  &gt; 3500000 and ngay_gui_bp = filename_date</t>
  </si>
  <si>
    <t>Regis_label</t>
  </si>
  <si>
    <t>Gán nhãn KH đã đăng ký dịch vụ</t>
  </si>
  <si>
    <t>join với bảng registered_shop_infor để lấy thông tin, default  = 0</t>
  </si>
  <si>
    <t>tong_cuoc_vnd</t>
  </si>
  <si>
    <t>Tổng cước vận chuyển</t>
  </si>
  <si>
    <t>totalAmountGreaterThanCod</t>
  </si>
  <si>
    <t xml:space="preserve">Tổng giá trị của đơn COD lớn hơn 3.500.000 VND/ngày </t>
  </si>
  <si>
    <t xml:space="preserve">            totalAmountGreaterThanCod = orders[orders['Tien thu ho'] &gt; 3500000]['Tien thu ho'].sum()</t>
  </si>
  <si>
    <t>sum(thu_ho)
where loai_don = 'COD'  and thu_ho  &gt; 3500000 and ngay_gui_bp = filename_date</t>
  </si>
  <si>
    <t>df.drop_duplicates(subset = ['ma_khgui', 'ma_kh_vtp', 'ma_phieugui'])
sum(thu_ho)
where loai_don = 'COD'  and thu_ho  &gt; 3500000 and ngay_gui_bp = filename_date</t>
  </si>
  <si>
    <t>Risk_Label</t>
  </si>
  <si>
    <t>Gán nhãn KH đã đăng ký dịch vu nhưng phát sinh rủi ro</t>
  </si>
  <si>
    <t>join với bảng risky_shop, default = 0</t>
  </si>
  <si>
    <t>thu_ho</t>
  </si>
  <si>
    <t>Tiền thu hộ </t>
  </si>
  <si>
    <t>200.000 </t>
  </si>
  <si>
    <t>totalAmountRefundCod</t>
  </si>
  <si>
    <t>Tổng giá trị COD bị hoàn/ngày</t>
  </si>
  <si>
    <t xml:space="preserve">            total_amount_refund_cod = orders[(orders['Trang thai van chuyen'].isin(['505', '502', '515']))]['Tien thu ho'].sum()</t>
  </si>
  <si>
    <t>sum(thu_ho)
where loai_don = 'COD' and ngay_chuyen_trangthai= filename_date and  trangthai_vanchuyen = 515</t>
  </si>
  <si>
    <t>df.drop_duplicates(subset = ['ma_khgui', 'ma_kh_vtp', 'ma_phieugui', 'trangthai_vanchuyen', 'ngaychuyen_trangthai'])
sum(thu_ho)
where loai_don = 'COD' and ngay_chuyen_trangthai= filename_date and  trangthai_vanchuyen = 515</t>
  </si>
  <si>
    <t>số đơn duyệt hoàn</t>
  </si>
  <si>
    <t>trangthai_vanchuyen</t>
  </si>
  <si>
    <t>Trạng thái đơn </t>
  </si>
  <si>
    <t>Giao hàng thành công/Đã lấy hàng/Shop hủy lấy/KH hoàn hàng/Đã trả hàng </t>
  </si>
  <si>
    <t>totalAmountRefundFailureCod</t>
  </si>
  <si>
    <t>Tổng giá trị COD hoàn không thành công/ngày </t>
  </si>
  <si>
    <t>sum(thu_ho)
where loai_don = 'COD' and ngay_chuyen_trangthai = filename_date and trangthai_vanchuyen in ['506', '507']</t>
  </si>
  <si>
    <t>df.drop_duplicates(subset = ['ma_khgui', 'ma_kh_vtp', 'ma_phieugui', 'trangthai_vanchuyen', 'ngaychuyen_trangthai'])
sum(thu_ho)
where loai_don = 'COD' and ngay_chuyen_trangthai = filename_date and trangthai_vanchuyen = 503 and (now() ngay_gui_bp) &gt;30 days</t>
  </si>
  <si>
    <t>trangthai_thanhtoan</t>
  </si>
  <si>
    <t>Trạng thái thanh toán</t>
  </si>
  <si>
    <t>Đã thanh toán/Chưa thanh toán</t>
  </si>
  <si>
    <t>ma_nv_buuta_phat</t>
  </si>
  <si>
    <t>Mã nhân viên giao hàng</t>
  </si>
  <si>
    <t>X1234-012</t>
  </si>
  <si>
    <t>ma_buucuc_hientai</t>
  </si>
  <si>
    <t>Bưu cục đang giữ đơn hàng</t>
  </si>
  <si>
    <t>ngay_chuyen_trangthai</t>
  </si>
  <si>
    <t>Ngày chuyển trạng thái</t>
  </si>
  <si>
    <t>don_hoan</t>
  </si>
  <si>
    <t>Đơn chuyển hoàn</t>
  </si>
  <si>
    <t>1: bị hoàn, 0: không hoàn</t>
  </si>
  <si>
    <t>tien_cuoc_hoan</t>
  </si>
  <si>
    <t>Tiền cước hoàn hàng</t>
  </si>
  <si>
    <t>raw DB: shop_info
Mô tả: Thông tin KH của VTP</t>
  </si>
  <si>
    <t>teên file</t>
  </si>
  <si>
    <t>cus_id, ma_kh, ma_kh_vtp</t>
  </si>
  <si>
    <t>ten_kh</t>
  </si>
  <si>
    <t>Tên khách hàng</t>
  </si>
  <si>
    <t>ngay_tao_tk</t>
  </si>
  <si>
    <t>Ngày tạo tài khoản</t>
  </si>
  <si>
    <t>ngay_ps_dơn_dautien</t>
  </si>
  <si>
    <t>Ngày phát sinh đơn đầu tiên</t>
  </si>
  <si>
    <t>order</t>
  </si>
  <si>
    <t>Field</t>
  </si>
  <si>
    <t>sql statement</t>
  </si>
  <si>
    <t xml:space="preserve">   </t>
  </si>
  <si>
    <t>Ngay tao ban ghi</t>
  </si>
  <si>
    <t>ORDER_SYSTEMDATE</t>
  </si>
  <si>
    <t>Ma don hang</t>
  </si>
  <si>
    <t>ORDER_NUMBER</t>
  </si>
  <si>
    <t>Ngay nhap may</t>
  </si>
  <si>
    <t>ORDER_ACCEPTDATE</t>
  </si>
  <si>
    <t>Ma khach hang</t>
  </si>
  <si>
    <t>CUS_ID</t>
  </si>
  <si>
    <t>Dia chi gui</t>
  </si>
  <si>
    <t>SENDER_ADDRESS</t>
  </si>
  <si>
    <t>ID Quan/huyen gui</t>
  </si>
  <si>
    <t>DISTRICT_ID</t>
  </si>
  <si>
    <t>select VALUE from ERP_CUS.CUS_DISTRICT where DISTRICT_ID = a.SENDER_DISTRICT) as "ID Quan/huyen gui"</t>
  </si>
  <si>
    <t xml:space="preserve"> Quan/huyen gui</t>
  </si>
  <si>
    <t>SENDER_DISTRICT</t>
  </si>
  <si>
    <t>(select NAME from ERP_CUS.CUS_DISTRICT where DISTRICT_ID = a.SENDER_DISTRICT) as " Quan/huyen gui"</t>
  </si>
  <si>
    <t>ID Tinh/Tp gui</t>
  </si>
  <si>
    <t>PROVINCE_ID</t>
  </si>
  <si>
    <t>(select VALUE from ERP_CUS.CUS_PROVINCE where PROVINCE_ID = a.SENDER_PROVINCE) as "ID Tinh/Tp gui"</t>
  </si>
  <si>
    <t>Tinh/Tp gui</t>
  </si>
  <si>
    <t>SENDER_PROVINCE</t>
  </si>
  <si>
    <t>(select NAME from ERP_CUS.CUS_PROVINCE where PROVINCE_ID = a.SENDER_PROVINCE) as "Tinh/Tp gui"</t>
  </si>
  <si>
    <t>ID Buu cuc goc</t>
  </si>
  <si>
    <t>SENDER_POST_ID</t>
  </si>
  <si>
    <t>(SELECT MA_BUUCUC FROM DM_BUUCUC WHERE ID_BUUCUC = a.SENDER_POST_ID) as "ID Buu cuc goc"</t>
  </si>
  <si>
    <t>Buu ta</t>
  </si>
  <si>
    <t>SENDER_EMPLOYER</t>
  </si>
  <si>
    <t>(SELECT su.FIRSTNAME || ' ' || su.LASTNAME FROM VTP.SUSERS su WHERE USERID = a.SENDER_EMPLOYER) as "Buu ta"</t>
  </si>
  <si>
    <t>Nguoi nhan</t>
  </si>
  <si>
    <t>RECEIVER_FULLNAME</t>
  </si>
  <si>
    <t>Dia chi nhan</t>
  </si>
  <si>
    <t>RECEIVER_ADDRESS</t>
  </si>
  <si>
    <t>ID Quan/huyen nhan</t>
  </si>
  <si>
    <t>RECEIVER_DISTRICT</t>
  </si>
  <si>
    <t>(select VALUE from ERP_CUS.CUS_DISTRICT where DISTRICT_ID = a.RECEIVER_DISTRICT) as "ID Quan/huyen nhan"</t>
  </si>
  <si>
    <t xml:space="preserve"> Quan/huyen nhan</t>
  </si>
  <si>
    <t>(select NAME from ERP_CUS.CUS_DISTRICT where DISTRICT_ID = a.RECEIVER_DISTRICT) as " Quan/huyen nhan"</t>
  </si>
  <si>
    <t>ID Tinh/Tp nhan</t>
  </si>
  <si>
    <t>(select VALUE from ERP_CUS.CUS_PROVINCE where PROVINCE_ID = a.RECEIVER_PROVINCE) as "ID Tinh/Tp nhan</t>
  </si>
  <si>
    <t>Tinh/Tp nhan</t>
  </si>
  <si>
    <t>RECEIVER_PROVINCE</t>
  </si>
  <si>
    <t>(select NAME from ERP_CUS.CUS_PROVINCE where PROVINCE_ID = a.RECEIVER_PROVINCE) as "Tinh/Tp nhan"</t>
  </si>
  <si>
    <t>SDT nguoi nhan</t>
  </si>
  <si>
    <t>RECEIVER_PHONE</t>
  </si>
  <si>
    <t>ND hanh hoa</t>
  </si>
  <si>
    <t>PRODUCT_NAME</t>
  </si>
  <si>
    <t>TL hang hoa</t>
  </si>
  <si>
    <t>PRODUCT_WEIGHT</t>
  </si>
  <si>
    <t>Loai don</t>
  </si>
  <si>
    <t>MONEY_COLLECTION</t>
  </si>
  <si>
    <t>(CASE WHEN a.MONEY_COLLECTION IS NULL OR MONEY_COLLECTION &lt;= 0 THEN 'Non COD' ELSE 'COD' END) as "Loai don"</t>
  </si>
  <si>
    <t>Ben tra phi van chuyen</t>
  </si>
  <si>
    <t>ORDER_PAYMENT</t>
  </si>
  <si>
    <t>CASE WHEN a.ORDER_PAYMENT=1 OR a.ORDER_PAYMENT=3 THEN 'Nguoi gui' ELSE 'Nguoi nhan' END</t>
  </si>
  <si>
    <t>Tong cuoc van chuyen</t>
  </si>
  <si>
    <t>MONEY_TOTAL</t>
  </si>
  <si>
    <t>CASE WHEN a.ORDER_STATUS=501 THEN a.ORDER_STATUSDATE ELSE NULL END</t>
  </si>
  <si>
    <t>Tien thu ho</t>
  </si>
  <si>
    <t>Trang thai van chuyen</t>
  </si>
  <si>
    <t>ORDER_STATUS</t>
  </si>
  <si>
    <t>Trang thai thanh toan</t>
  </si>
  <si>
    <t>LISTPAYMENT</t>
  </si>
  <si>
    <t xml:space="preserve">CASE 
    WHEN 
        (SELECT lp.DOCSTATUS FROM ERP_AC.ERP_LISTPAYMENT lp INNER JOIN ERP_AC.ERP_LISTPAYMENTLINE lpl ON lp.LISTPAYMENT_ID = lpl.LISTPAYMENT_ID WHERE lpl.BILL = a.ORDER_NUMBER AND ROWNUM = 1) = 5 OR 
        (SELECT lp.DOCSTATUS FROM ERP_AC.ERP_LISTPAYMENT lp INNER JOIN ERP_AC.ERP_LISTPAYMENTLINE lpl ON lp.LISTPAYMENT_ID = lpl.LISTPAYMENT_ID WHERE lpl.BILL = a.ORDER_NUMBER AND ROWNUM = 1) =6 
    THEN 'Da thanh toan' ELSE 'Chua thanh toan'
    END </t>
  </si>
  <si>
    <t>Ngay phat hang thanh cong</t>
  </si>
  <si>
    <t>ORDER_STATUSDATE</t>
  </si>
  <si>
    <t>(CASE WHEN a.ORDER_STATUS=501 THEN a.ORDER_STATUSDATE ELSE NULL END) as "Ngay phat hang thanh cong"</t>
  </si>
  <si>
    <t>Ma NV giao hang</t>
  </si>
  <si>
    <t>RECEIVER_EMPLOYER</t>
  </si>
  <si>
    <t>(SELECT su.FIRSTNAME || ' ' || su.LASTNAME FROM VTP.SUSERS su WHERE USERID = a.RECEIVER_EMPLOYER) as "Ma NV giao hang</t>
  </si>
  <si>
    <t>ID Buu cuc Phat</t>
  </si>
  <si>
    <t>RECEIVER_POST_ID</t>
  </si>
  <si>
    <t>(SELECT MA_BUUCUC FROM DM_BUUCUC WHERE ID_BUUCUC = a.RECEIV ER_POST_ID) as "ID Buu cuc Phat"</t>
  </si>
  <si>
    <t>Ngay chuyen trang thai</t>
  </si>
  <si>
    <t>Don chuyen hoan</t>
  </si>
  <si>
    <t>TRANGTHAI</t>
  </si>
  <si>
    <t>NVL((SELECT 1 FROM VTP.VANDON_HANHTRINH WHERE MAVANDON = ORDER_NUMBER AND TRANGTHAI = 505 and ROWNUM = 1), 0) as "Don chuyen hoan"</t>
  </si>
  <si>
    <t>raw DB: advanced_order_log
Mô tả: Dữ liệu đơn hàng của KH đăng ký dịch vụ</t>
  </si>
  <si>
    <t>DB: risky_shop
Mô tả: Chỉ số đo lường khi vận hành -&gt; Đánh giá khách hàng rủi ro
Tần suất: Updatedaily</t>
  </si>
  <si>
    <t>Giải thích thêm</t>
  </si>
  <si>
    <t>totalAdvanceAmount</t>
  </si>
  <si>
    <t xml:space="preserve">Tổng tiền đã ứng </t>
  </si>
  <si>
    <t xml:space="preserve">=sum(thu_ho) 
where loai_don ='COD' and trangthai_ung= 1 and ngay_ung not null </t>
  </si>
  <si>
    <t>AdvanceUsed</t>
  </si>
  <si>
    <t>Tỷ lệ số tiền ứng COD đã sử dụng = Số tiền khách hàng đang ứng/Số tiền COD khách hàng đang gửi</t>
  </si>
  <si>
    <t>= totalAdvanceAmount / totalCodAmount</t>
  </si>
  <si>
    <r>
      <rPr>
        <b/>
        <sz val="11"/>
        <color rgb="FF000000"/>
        <rFont val="Arial"/>
        <family val="2"/>
        <scheme val="minor"/>
      </rPr>
      <t>totalCodAmount</t>
    </r>
    <r>
      <rPr>
        <sz val="11"/>
        <color rgb="FF000000"/>
        <rFont val="Arial"/>
        <family val="2"/>
        <scheme val="minor"/>
      </rPr>
      <t xml:space="preserve"> = sum(thu_ho) where loai_don = 'COD' and trangthai_vanchuyen != 501</t>
    </r>
  </si>
  <si>
    <t>NoUseDate</t>
  </si>
  <si>
    <t>Thời gian KH không sử dụng tiền ứng = Today - Ngày KH nhận tiền ứng COD</t>
  </si>
  <si>
    <t>=now() - max(ngay_ung)</t>
  </si>
  <si>
    <t>OrderReturnRate</t>
  </si>
  <si>
    <t>Tỷ lệ hoàn đơn  = Đơn hoàn/số đơn COD</t>
  </si>
  <si>
    <t>=  totalReturnOrders/ totalCodOrders</t>
  </si>
  <si>
    <r>
      <rPr>
        <b/>
        <sz val="11"/>
        <color rgb="FF000000"/>
        <rFont val="Aptos Narrow"/>
        <family val="2"/>
      </rPr>
      <t xml:space="preserve">totalCodOrders </t>
    </r>
    <r>
      <rPr>
        <sz val="11"/>
        <color rgb="FF000000"/>
        <rFont val="Aptos Narrow"/>
        <family val="2"/>
      </rPr>
      <t xml:space="preserve">= count(ma_phieugui) where loai_don = 'COD' 
</t>
    </r>
    <r>
      <rPr>
        <b/>
        <sz val="11"/>
        <color rgb="FF000000"/>
        <rFont val="Aptos Narrow"/>
        <family val="2"/>
      </rPr>
      <t>totalReturnOrders</t>
    </r>
    <r>
      <rPr>
        <sz val="11"/>
        <color rgb="FF000000"/>
        <rFont val="Aptos Narrow"/>
        <family val="2"/>
      </rPr>
      <t xml:space="preserve"> = count(ma_phieugui)
where loai_don = 'COD' and  trangthai_vanchuyen in (502, 503, 504,  505, 506, 507, 510, 515 )</t>
    </r>
  </si>
  <si>
    <t>AdvanceRateonLimit</t>
  </si>
  <si>
    <t>Tỷ lệ số tiền ứng COD trên hạn mức = Số tiền KH đang ứng/Tổng hạn mức</t>
  </si>
  <si>
    <t>= totalAdvanceAmount / limit</t>
  </si>
  <si>
    <r>
      <rPr>
        <sz val="11"/>
        <color rgb="FF000000"/>
        <rFont val="Aptos Narrow"/>
        <family val="2"/>
      </rPr>
      <t xml:space="preserve">lấy </t>
    </r>
    <r>
      <rPr>
        <b/>
        <sz val="11"/>
        <color rgb="FF000000"/>
        <rFont val="Aptos Narrow"/>
        <family val="2"/>
      </rPr>
      <t xml:space="preserve">limit </t>
    </r>
    <r>
      <rPr>
        <sz val="11"/>
        <color rgb="FF000000"/>
        <rFont val="Aptos Narrow"/>
        <family val="2"/>
      </rPr>
      <t>trong bảng synchronized_customers</t>
    </r>
  </si>
  <si>
    <t>CountUnsuccessADvanceorder</t>
  </si>
  <si>
    <t>Số đơn hoàn không thành công</t>
  </si>
  <si>
    <t>= count(ma_phieugui) where loai_don='COD' and trangthai_vanchuyen in ['506', '507']</t>
  </si>
  <si>
    <t>Risky</t>
  </si>
  <si>
    <t>1/0
(1: KH rủi ro)</t>
  </si>
  <si>
    <t xml:space="preserve">  </t>
  </si>
  <si>
    <t>trang_thai_vanchuyen</t>
  </si>
  <si>
    <t>trang_thai_thanhtoan</t>
  </si>
  <si>
    <t>ngay_ung</t>
  </si>
  <si>
    <t>Ngày ứng COD</t>
  </si>
  <si>
    <t>datetime</t>
  </si>
  <si>
    <t>trangthai_ung</t>
  </si>
  <si>
    <t>Trạng thái ứng</t>
  </si>
  <si>
    <t>1: có ứng, 0: không ứng</t>
  </si>
  <si>
    <t>=  groupby(cus_id).sum(totalAmountCod)</t>
  </si>
  <si>
    <t>raw DB: registered_shop_info
Mô tả: Thông tin KH của VTP đã đăng ký dịch vụ</t>
  </si>
  <si>
    <t>ngay_dangky</t>
  </si>
  <si>
    <t>Ngày đăng ký dịch vụ</t>
  </si>
  <si>
    <t>RAW data path: raw_data/registered_shop_infor/...
db: registered_shop_infor
Mô tả: Thông tin KH đăng ký dịch vụ</t>
  </si>
  <si>
    <t xml:space="preserve">DB: shop_infor </t>
  </si>
  <si>
    <t>Dữ liệu mẫu</t>
  </si>
  <si>
    <t>Ghi chú</t>
  </si>
  <si>
    <t>id</t>
  </si>
  <si>
    <t>COD-001-TPO183411</t>
  </si>
  <si>
    <t>name</t>
  </si>
  <si>
    <t>identifyCard</t>
  </si>
  <si>
    <t>Thông tin định danh</t>
  </si>
  <si>
    <t>Thời gian sử dụng dịch vụ</t>
  </si>
  <si>
    <t>Tính theo tháng</t>
  </si>
  <si>
    <t>firstDate</t>
  </si>
  <si>
    <t>Hạn mức ứng</t>
  </si>
  <si>
    <t>Hạn mức ứng theo tháng</t>
  </si>
  <si>
    <t>phone</t>
  </si>
  <si>
    <t>SĐT</t>
  </si>
  <si>
    <t>Số tiền ứng còn lại</t>
  </si>
  <si>
    <t>address</t>
  </si>
  <si>
    <t>Địa chỉ</t>
  </si>
  <si>
    <t>email</t>
  </si>
  <si>
    <t>Email</t>
  </si>
  <si>
    <t>RAW DB: raw_data/advanced_order_log/...
Mô tả: quản lý khách hàng đăng ký
Tần suất: Update daily</t>
  </si>
  <si>
    <t>DB: risk_management
Mô tả: Chỉ số đo lường khi vận hành -&gt; Đánh giá khách hàng rủi ro
Tần suất: Updatedaily</t>
  </si>
  <si>
    <t>postOffice</t>
  </si>
  <si>
    <t>Bưu cục gốc</t>
  </si>
  <si>
    <t>=sum(amount) where type = 1 and codDate not null and statusResponse = 0</t>
  </si>
  <si>
    <t>postman</t>
  </si>
  <si>
    <t>Bưu tá</t>
  </si>
  <si>
    <t>= Số tiền khách hàng đang ứng/Số tiền COD khách hàng đang gửi</t>
  </si>
  <si>
    <r>
      <rPr>
        <b/>
        <sz val="11"/>
        <color rgb="FF000000"/>
        <rFont val="Arial"/>
        <family val="2"/>
        <scheme val="minor"/>
      </rPr>
      <t>totalCodAmount</t>
    </r>
    <r>
      <rPr>
        <sz val="11"/>
        <color rgb="FF000000"/>
        <rFont val="Arial"/>
        <family val="2"/>
        <scheme val="minor"/>
      </rPr>
      <t xml:space="preserve"> = sum(thu_ho) where  loai_don = 'COD'</t>
    </r>
  </si>
  <si>
    <t>idOrder</t>
  </si>
  <si>
    <t>= Today - Ngày KH nhận tiền ứng COD</t>
  </si>
  <si>
    <t>=now() - max(codDate)</t>
  </si>
  <si>
    <t>codDate</t>
  </si>
  <si>
    <t>Ngày ứng COD </t>
  </si>
  <si>
    <t>= Đơn hoàn/số đơn COD</t>
  </si>
  <si>
    <t>= totalCodOrders / totalReturnOrders</t>
  </si>
  <si>
    <r>
      <rPr>
        <b/>
        <sz val="11"/>
        <color rgb="FF000000"/>
        <rFont val="Aptos Narrow"/>
        <family val="2"/>
      </rPr>
      <t xml:space="preserve">totalCodOrders </t>
    </r>
    <r>
      <rPr>
        <sz val="11"/>
        <color rgb="FF000000"/>
        <rFont val="Aptos Narrow"/>
        <family val="2"/>
      </rPr>
      <t xml:space="preserve">= count(idOrder) where type = 1
</t>
    </r>
    <r>
      <rPr>
        <b/>
        <sz val="11"/>
        <color rgb="FF000000"/>
        <rFont val="Aptos Narrow"/>
        <family val="2"/>
      </rPr>
      <t>totalReturnOrders</t>
    </r>
    <r>
      <rPr>
        <sz val="11"/>
        <color rgb="FF000000"/>
        <rFont val="Aptos Narrow"/>
        <family val="2"/>
      </rPr>
      <t xml:space="preserve"> = count(idOrder)
where type = 1 and order_status in ('505', '502','515')</t>
    </r>
  </si>
  <si>
    <t>Ngày phát sinh đơn hàng </t>
  </si>
  <si>
    <t>Tỷ lệ số tiền ứng COD trên hạn mức</t>
  </si>
  <si>
    <t>= Số tiền KH đang ứng/Tổng hạn mức</t>
  </si>
  <si>
    <t>amount</t>
  </si>
  <si>
    <t>= count(idOrder) where type=1 and status in ['506', '507']</t>
  </si>
  <si>
    <t>totalFare</t>
  </si>
  <si>
    <t>Tổng cước </t>
  </si>
  <si>
    <t>statusResponse</t>
  </si>
  <si>
    <t>Trạng thái hoàn</t>
  </si>
  <si>
    <t>type</t>
  </si>
  <si>
    <t>Loại đơn hàng </t>
  </si>
  <si>
    <t>COD/Không COD</t>
  </si>
  <si>
    <t>typePaidShippingFee</t>
  </si>
  <si>
    <t>content</t>
  </si>
  <si>
    <t>Nội dung hàng hóa</t>
  </si>
  <si>
    <t>weight</t>
  </si>
  <si>
    <t>Trọng lượng</t>
  </si>
  <si>
    <t>rangerShip</t>
  </si>
  <si>
    <t>Phạm vi vận chuyển</t>
  </si>
  <si>
    <t>postSend</t>
  </si>
  <si>
    <t>Bưu cục phát</t>
  </si>
  <si>
    <t>idEmployee</t>
  </si>
  <si>
    <t>evaluate</t>
  </si>
  <si>
    <t>Đánh giá người nhận</t>
  </si>
  <si>
    <t>SDT</t>
  </si>
  <si>
    <t>addressRec</t>
  </si>
  <si>
    <t>status</t>
  </si>
  <si>
    <t>sendSuccess</t>
  </si>
  <si>
    <t>Ngày phát thành công </t>
  </si>
  <si>
    <t>idOrderRefund</t>
  </si>
  <si>
    <t>Mã đơn hàng bị hoàn </t>
  </si>
  <si>
    <t>totalRefund</t>
  </si>
  <si>
    <t>Chỉ số đo lường khi vận hành</t>
  </si>
  <si>
    <t>Ngưỡng</t>
  </si>
  <si>
    <t>&gt;100% =&gt; Dừng cho ứng COD</t>
  </si>
  <si>
    <t>= Ngày đánh giá - Ngày KH nhận tiền ứng COD</t>
  </si>
  <si>
    <t>&gt; 5 ngày =&gt; Dừng ứng COD</t>
  </si>
  <si>
    <t>= Đơn hoàn/Tổng đơn COD</t>
  </si>
  <si>
    <t>&gt; 8% =&gt; Dừng cho ứng COD</t>
  </si>
  <si>
    <t>Số đơn ứng</t>
  </si>
  <si>
    <t>Tổng đơn COD bị hoàn</t>
  </si>
  <si>
    <t>- Trường hợp giao hàng thất bại + hoàn về cho shop thành công:
+ Thu tiền COD + cước v/c 2 chiều
- Trường hợp giao hàng thất bại + không thể hoàn về cho shop:
=&gt; Nợ xấu</t>
  </si>
  <si>
    <t>Tổng đơn ứng bị hoàn</t>
  </si>
  <si>
    <t>Hạn mức tháng = Hạn mức ngày x 4</t>
  </si>
  <si>
    <r>
      <rPr>
        <b/>
        <sz val="11"/>
        <color rgb="FF000000"/>
        <rFont val="Times New Roman"/>
        <family val="1"/>
      </rPr>
      <t xml:space="preserve">
</t>
    </r>
    <r>
      <rPr>
        <sz val="11"/>
        <color rgb="FF000000"/>
        <rFont val="Times New Roman"/>
        <family val="1"/>
      </rPr>
      <t>Hạn mức ngày = P80(tổng giá trị đơn COD theo ngày của tháng trước)</t>
    </r>
  </si>
  <si>
    <t>Hạn mức ngày dựa vào</t>
  </si>
  <si>
    <t>Số dơn COD trên ngày</t>
  </si>
  <si>
    <t>Số tiền COD trên ngày</t>
  </si>
  <si>
    <t>Tỷ lệ giao hàng thành công</t>
  </si>
  <si>
    <t>Tần suất gửi</t>
  </si>
  <si>
    <t>Danh sách trạng thái chi tiết</t>
  </si>
  <si>
    <t>        -100 Đơn hàng mới tạo, chưa duyệt</t>
  </si>
  <si>
    <t>        -108 Đơn hàng gửi tại bưu cục</t>
  </si>
  <si>
    <t>        -109 Đơn hàng đã gửi tại điểm thu gom</t>
  </si>
  <si>
    <t>        -110 Đơn hàng đang bàn giao qua bưu cục</t>
  </si>
  <si>
    <t>        100 Tiếp nhận đơn hàng từ đối tác "Viettelpost xử lý đơn hàng"</t>
  </si>
  <si>
    <t>        101 ViettelPost yêu cầu hủy đơn hàng</t>
  </si>
  <si>
    <t>        102 Đơn hàng chờ xử lý</t>
  </si>
  <si>
    <t>        103 Giao cho bưu cục "Viettelpost xử lý đơn hàng"</t>
  </si>
  <si>
    <t>        104 Giao cho Bưu tá đi nhận</t>
  </si>
  <si>
    <t>        105 Buu Tá đã nhận hàng</t>
  </si>
  <si>
    <t>        106 Đối tác yêu cầu lấy lại hàng</t>
  </si>
  <si>
    <t>        107 Đối tác yêu cầu hủy qua API</t>
  </si>
  <si>
    <t>        200 Nhận từ bưu tá - Bưu cục gốc</t>
  </si>
  <si>
    <t>        201 Hủy nhập phiếu gửi</t>
  </si>
  <si>
    <t>        202 Sửa phiếu gửi</t>
  </si>
  <si>
    <t>        300 Close delivery file</t>
  </si>
  <si>
    <t>        301 Ðóng túi gói "Vận chuyển đi từ"</t>
  </si>
  <si>
    <t>        302 Đóng chuyến thư "Vận chuyển đi từ"</t>
  </si>
  <si>
    <t>        303 Đóng tuyến xe "Vận chuyển đi từ"</t>
  </si>
  <si>
    <t>        400 Nhận bảng kê đến "Nhận tại"</t>
  </si>
  <si>
    <t>        401 Nhận Túi gói "Nhận tại"</t>
  </si>
  <si>
    <t>        402 Nhận chuyến thư "Nhận tại"</t>
  </si>
  <si>
    <t>        403 Nhận chuyến xe "Nhận tại"</t>
  </si>
  <si>
    <t>        500 Giao bưu tá đi phát</t>
  </si>
  <si>
    <t>        501 Thành công - Phát thành công</t>
  </si>
  <si>
    <t>        502 Chuyển hoàn bưu cục gốc</t>
  </si>
  <si>
    <t>        503 Hủy - Theo yêu cầu khách hàng</t>
  </si>
  <si>
    <t>        504 Thành công - Chuyển trả người gửi</t>
  </si>
  <si>
    <t>        505 Tồn - Thông báo chuyển hoàn bưu cục gốc</t>
  </si>
  <si>
    <t>        506 Tồn - Khách hàng nghỉ, không có nhà</t>
  </si>
  <si>
    <t>        507 Tồn - Khách hàng đến bưu cục nhận</t>
  </si>
  <si>
    <t>        508 Phát tiếp</t>
  </si>
  <si>
    <t>        509 Chuyển tiếp bưu cục khác</t>
  </si>
  <si>
    <t>        510 Hủy phân công phát</t>
  </si>
  <si>
    <t>        515 Bưu cục phát duyệt hoàn</t>
  </si>
  <si>
    <t xml:space="preserve">Giá dịch vụ ứng </t>
  </si>
  <si>
    <t>VND/đơn ứng</t>
  </si>
  <si>
    <t>Daogras</t>
  </si>
  <si>
    <t>VTP</t>
  </si>
  <si>
    <t>data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</si>
</sst>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000"/>
  </numFmts>
  <fonts count="3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0"/>
      <name val="Times New Roman"/>
      <family val="1"/>
    </font>
    <font>
      <b/>
      <sz val="11"/>
      <color theme="0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Arial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Arial"/>
      <family val="2"/>
      <scheme val="minor"/>
    </font>
    <font>
      <b/>
      <sz val="11"/>
      <color rgb="FFFFFFFF"/>
      <name val="Times New Roman"/>
      <family val="1"/>
    </font>
    <font>
      <sz val="11"/>
      <color theme="0"/>
      <name val="Arial"/>
      <family val="2"/>
      <scheme val="minor"/>
    </font>
    <font>
      <sz val="12"/>
      <name val="Times New Roman"/>
      <family val="1"/>
    </font>
    <font>
      <b/>
      <sz val="15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rgb="FFFF0000"/>
      <name val="Times New Roman"/>
      <family val="1"/>
    </font>
    <font>
      <b/>
      <sz val="11"/>
      <color rgb="FFFF0000"/>
      <name val="Arial"/>
      <family val="2"/>
      <charset val="163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6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0" xfId="0" applyFont="1"/>
    <xf numFmtId="0" fontId="3" fillId="0" borderId="3" xfId="0" applyFont="1" applyBorder="1" applyAlignment="1">
      <alignment vertical="center"/>
    </xf>
    <xf numFmtId="164" fontId="3" fillId="0" borderId="1" xfId="1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2" fontId="3" fillId="0" borderId="0" xfId="0" quotePrefix="1" applyNumberFormat="1" applyFont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/>
    <xf numFmtId="0" fontId="3" fillId="3" borderId="1" xfId="0" quotePrefix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4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0" fontId="3" fillId="0" borderId="2" xfId="0" quotePrefix="1" applyFont="1" applyBorder="1"/>
    <xf numFmtId="0" fontId="4" fillId="0" borderId="17" xfId="0" applyFont="1" applyBorder="1" applyAlignment="1">
      <alignment horizontal="center" vertical="top" wrapText="1"/>
    </xf>
    <xf numFmtId="9" fontId="4" fillId="0" borderId="17" xfId="2" quotePrefix="1" applyFont="1" applyBorder="1" applyAlignment="1">
      <alignment horizontal="center" vertical="top"/>
    </xf>
    <xf numFmtId="9" fontId="4" fillId="0" borderId="15" xfId="2" quotePrefix="1" applyFont="1" applyBorder="1" applyAlignment="1">
      <alignment vertical="top"/>
    </xf>
    <xf numFmtId="9" fontId="4" fillId="0" borderId="3" xfId="2" quotePrefix="1" applyFont="1" applyBorder="1" applyAlignment="1">
      <alignment vertical="top"/>
    </xf>
    <xf numFmtId="0" fontId="2" fillId="2" borderId="1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vertical="top" wrapText="1"/>
    </xf>
    <xf numFmtId="9" fontId="3" fillId="0" borderId="0" xfId="2" applyFont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7" fillId="0" borderId="1" xfId="0" quotePrefix="1" applyFont="1" applyBorder="1"/>
    <xf numFmtId="0" fontId="7" fillId="0" borderId="1" xfId="0" quotePrefix="1" applyFont="1" applyBorder="1" applyAlignment="1">
      <alignment wrapText="1"/>
    </xf>
    <xf numFmtId="0" fontId="9" fillId="0" borderId="0" xfId="0" applyFont="1"/>
    <xf numFmtId="9" fontId="2" fillId="2" borderId="7" xfId="2" applyFont="1" applyFill="1" applyBorder="1" applyAlignment="1">
      <alignment horizontal="center" vertical="center" wrapText="1"/>
    </xf>
    <xf numFmtId="9" fontId="4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9" fontId="3" fillId="0" borderId="0" xfId="2" applyFont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top" wrapText="1"/>
    </xf>
    <xf numFmtId="0" fontId="5" fillId="5" borderId="23" xfId="0" applyFont="1" applyFill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7" fillId="0" borderId="22" xfId="0" applyFont="1" applyBorder="1"/>
    <xf numFmtId="0" fontId="7" fillId="0" borderId="1" xfId="0" applyFont="1" applyBorder="1" applyAlignment="1">
      <alignment vertical="top" wrapText="1"/>
    </xf>
    <xf numFmtId="0" fontId="7" fillId="0" borderId="9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wrapText="1"/>
    </xf>
    <xf numFmtId="0" fontId="7" fillId="0" borderId="6" xfId="0" applyFont="1" applyBorder="1"/>
    <xf numFmtId="0" fontId="7" fillId="0" borderId="5" xfId="0" quotePrefix="1" applyFont="1" applyBorder="1"/>
    <xf numFmtId="0" fontId="7" fillId="0" borderId="9" xfId="0" applyFont="1" applyBorder="1"/>
    <xf numFmtId="0" fontId="12" fillId="6" borderId="21" xfId="0" applyFont="1" applyFill="1" applyBorder="1" applyAlignment="1">
      <alignment horizontal="center" vertical="top" wrapText="1"/>
    </xf>
    <xf numFmtId="0" fontId="12" fillId="5" borderId="21" xfId="0" applyFont="1" applyFill="1" applyBorder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13" fillId="0" borderId="22" xfId="0" applyFont="1" applyBorder="1" applyAlignment="1">
      <alignment vertical="top" wrapText="1"/>
    </xf>
    <xf numFmtId="0" fontId="13" fillId="3" borderId="9" xfId="0" applyFont="1" applyFill="1" applyBorder="1" applyAlignment="1">
      <alignment vertical="top" wrapText="1"/>
    </xf>
    <xf numFmtId="0" fontId="5" fillId="6" borderId="2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8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3" fillId="0" borderId="5" xfId="0" applyFont="1" applyBorder="1" applyAlignment="1">
      <alignment horizontal="center" vertical="top"/>
    </xf>
    <xf numFmtId="0" fontId="13" fillId="0" borderId="1" xfId="0" applyFont="1" applyBorder="1"/>
    <xf numFmtId="0" fontId="13" fillId="0" borderId="1" xfId="0" applyFont="1" applyBorder="1" applyAlignment="1">
      <alignment horizontal="center" vertical="top"/>
    </xf>
    <xf numFmtId="0" fontId="15" fillId="0" borderId="1" xfId="0" applyFont="1" applyBorder="1"/>
    <xf numFmtId="0" fontId="7" fillId="0" borderId="0" xfId="0" applyFont="1" applyAlignment="1">
      <alignment horizontal="left"/>
    </xf>
    <xf numFmtId="0" fontId="7" fillId="0" borderId="0" xfId="0" applyFont="1"/>
    <xf numFmtId="0" fontId="14" fillId="0" borderId="1" xfId="0" applyFont="1" applyBorder="1" applyAlignment="1">
      <alignment horizontal="left" vertical="center"/>
    </xf>
    <xf numFmtId="0" fontId="5" fillId="6" borderId="27" xfId="0" applyFont="1" applyFill="1" applyBorder="1" applyAlignment="1">
      <alignment horizontal="center"/>
    </xf>
    <xf numFmtId="0" fontId="7" fillId="0" borderId="5" xfId="0" applyFont="1" applyBorder="1"/>
    <xf numFmtId="0" fontId="14" fillId="7" borderId="5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top"/>
    </xf>
    <xf numFmtId="0" fontId="14" fillId="4" borderId="1" xfId="0" applyFont="1" applyFill="1" applyBorder="1" applyAlignment="1">
      <alignment horizontal="left" vertical="center" wrapText="1" indent="1"/>
    </xf>
    <xf numFmtId="0" fontId="5" fillId="6" borderId="27" xfId="0" applyFont="1" applyFill="1" applyBorder="1"/>
    <xf numFmtId="0" fontId="7" fillId="0" borderId="10" xfId="0" applyFont="1" applyBorder="1" applyAlignment="1">
      <alignment horizontal="center" vertical="top"/>
    </xf>
    <xf numFmtId="0" fontId="7" fillId="0" borderId="4" xfId="0" applyFont="1" applyBorder="1" applyAlignment="1">
      <alignment horizontal="left"/>
    </xf>
    <xf numFmtId="0" fontId="14" fillId="0" borderId="4" xfId="0" applyFont="1" applyBorder="1" applyAlignment="1">
      <alignment vertical="center" wrapText="1"/>
    </xf>
    <xf numFmtId="0" fontId="14" fillId="0" borderId="4" xfId="0" applyFont="1" applyBorder="1" applyAlignment="1">
      <alignment horizontal="left" vertical="center" wrapText="1"/>
    </xf>
    <xf numFmtId="0" fontId="13" fillId="0" borderId="5" xfId="0" applyFont="1" applyBorder="1"/>
    <xf numFmtId="0" fontId="15" fillId="7" borderId="5" xfId="0" applyFont="1" applyFill="1" applyBorder="1" applyAlignment="1">
      <alignment horizontal="left" vertical="center" wrapText="1" indent="1"/>
    </xf>
    <xf numFmtId="0" fontId="15" fillId="7" borderId="5" xfId="0" applyFont="1" applyFill="1" applyBorder="1" applyAlignment="1">
      <alignment horizontal="left" vertical="center" wrapText="1"/>
    </xf>
    <xf numFmtId="0" fontId="17" fillId="6" borderId="27" xfId="0" applyFont="1" applyFill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3" borderId="9" xfId="0" applyFont="1" applyFill="1" applyBorder="1" applyAlignment="1">
      <alignment vertical="top" wrapText="1"/>
    </xf>
    <xf numFmtId="0" fontId="7" fillId="0" borderId="22" xfId="0" applyFont="1" applyBorder="1" applyAlignment="1">
      <alignment vertical="top" wrapText="1"/>
    </xf>
    <xf numFmtId="14" fontId="7" fillId="0" borderId="1" xfId="0" applyNumberFormat="1" applyFont="1" applyBorder="1"/>
    <xf numFmtId="165" fontId="7" fillId="0" borderId="1" xfId="1" applyNumberFormat="1" applyFont="1" applyBorder="1"/>
    <xf numFmtId="14" fontId="14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14" fontId="14" fillId="0" borderId="1" xfId="0" applyNumberFormat="1" applyFont="1" applyBorder="1"/>
    <xf numFmtId="0" fontId="14" fillId="0" borderId="5" xfId="0" applyFont="1" applyBorder="1" applyAlignment="1">
      <alignment horizontal="center" vertical="center"/>
    </xf>
    <xf numFmtId="0" fontId="14" fillId="7" borderId="5" xfId="0" applyFont="1" applyFill="1" applyBorder="1" applyAlignment="1">
      <alignment vertical="center" wrapText="1"/>
    </xf>
    <xf numFmtId="0" fontId="14" fillId="0" borderId="5" xfId="0" applyFont="1" applyBorder="1" applyAlignment="1">
      <alignment horizontal="right"/>
    </xf>
    <xf numFmtId="0" fontId="5" fillId="6" borderId="27" xfId="0" applyFont="1" applyFill="1" applyBorder="1" applyAlignment="1">
      <alignment vertical="center"/>
    </xf>
    <xf numFmtId="1" fontId="7" fillId="0" borderId="1" xfId="1" applyNumberFormat="1" applyFont="1" applyBorder="1"/>
    <xf numFmtId="0" fontId="7" fillId="0" borderId="31" xfId="0" quotePrefix="1" applyFont="1" applyBorder="1" applyAlignment="1">
      <alignment vertical="center"/>
    </xf>
    <xf numFmtId="0" fontId="0" fillId="0" borderId="32" xfId="0" quotePrefix="1" applyBorder="1" applyAlignment="1">
      <alignment vertical="center" wrapText="1"/>
    </xf>
    <xf numFmtId="0" fontId="19" fillId="0" borderId="0" xfId="0" applyFont="1"/>
    <xf numFmtId="0" fontId="20" fillId="4" borderId="0" xfId="0" applyFont="1" applyFill="1"/>
    <xf numFmtId="0" fontId="7" fillId="9" borderId="1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 vertical="top"/>
    </xf>
    <xf numFmtId="0" fontId="7" fillId="9" borderId="1" xfId="0" applyFont="1" applyFill="1" applyBorder="1"/>
    <xf numFmtId="14" fontId="7" fillId="9" borderId="1" xfId="0" applyNumberFormat="1" applyFont="1" applyFill="1" applyBorder="1"/>
    <xf numFmtId="0" fontId="14" fillId="9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6" fillId="0" borderId="1" xfId="0" applyFont="1" applyBorder="1"/>
    <xf numFmtId="0" fontId="21" fillId="4" borderId="1" xfId="0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0" fillId="0" borderId="9" xfId="0" applyBorder="1"/>
    <xf numFmtId="0" fontId="0" fillId="0" borderId="9" xfId="0" quotePrefix="1" applyBorder="1" applyAlignment="1">
      <alignment vertical="center" wrapText="1"/>
    </xf>
    <xf numFmtId="0" fontId="0" fillId="0" borderId="9" xfId="0" quotePrefix="1" applyBorder="1" applyAlignment="1">
      <alignment vertical="center"/>
    </xf>
    <xf numFmtId="0" fontId="22" fillId="0" borderId="9" xfId="0" applyFont="1" applyBorder="1" applyAlignment="1">
      <alignment wrapText="1"/>
    </xf>
    <xf numFmtId="0" fontId="23" fillId="7" borderId="9" xfId="0" applyFont="1" applyFill="1" applyBorder="1"/>
    <xf numFmtId="0" fontId="13" fillId="0" borderId="10" xfId="0" applyFont="1" applyBorder="1"/>
    <xf numFmtId="0" fontId="13" fillId="0" borderId="16" xfId="0" applyFont="1" applyBorder="1"/>
    <xf numFmtId="0" fontId="13" fillId="0" borderId="16" xfId="0" quotePrefix="1" applyFont="1" applyBorder="1"/>
    <xf numFmtId="0" fontId="13" fillId="0" borderId="16" xfId="0" applyFont="1" applyBorder="1" applyAlignment="1">
      <alignment vertical="center"/>
    </xf>
    <xf numFmtId="0" fontId="5" fillId="6" borderId="21" xfId="0" applyFont="1" applyFill="1" applyBorder="1" applyAlignment="1">
      <alignment horizontal="center"/>
    </xf>
    <xf numFmtId="9" fontId="3" fillId="0" borderId="4" xfId="2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/>
    </xf>
    <xf numFmtId="9" fontId="3" fillId="0" borderId="2" xfId="2" applyFont="1" applyBorder="1" applyAlignment="1">
      <alignment horizontal="center" vertical="center" wrapText="1"/>
    </xf>
    <xf numFmtId="9" fontId="3" fillId="0" borderId="5" xfId="2" applyFont="1" applyBorder="1" applyAlignment="1">
      <alignment horizontal="center" vertical="center" wrapText="1"/>
    </xf>
    <xf numFmtId="9" fontId="3" fillId="3" borderId="2" xfId="2" applyFont="1" applyFill="1" applyBorder="1" applyAlignment="1">
      <alignment horizontal="center" vertical="center"/>
    </xf>
    <xf numFmtId="9" fontId="3" fillId="3" borderId="4" xfId="2" applyFont="1" applyFill="1" applyBorder="1" applyAlignment="1">
      <alignment horizontal="center" vertical="center"/>
    </xf>
    <xf numFmtId="0" fontId="14" fillId="9" borderId="1" xfId="0" quotePrefix="1" applyFont="1" applyFill="1" applyBorder="1" applyAlignment="1">
      <alignment horizontal="left" vertical="center" wrapText="1" indent="1"/>
    </xf>
    <xf numFmtId="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5" fillId="10" borderId="27" xfId="0" applyFont="1" applyFill="1" applyBorder="1" applyAlignment="1">
      <alignment horizontal="center" vertical="center"/>
    </xf>
    <xf numFmtId="0" fontId="5" fillId="10" borderId="27" xfId="0" applyFont="1" applyFill="1" applyBorder="1"/>
    <xf numFmtId="0" fontId="5" fillId="10" borderId="27" xfId="0" applyFont="1" applyFill="1" applyBorder="1" applyAlignment="1">
      <alignment horizontal="left"/>
    </xf>
    <xf numFmtId="0" fontId="5" fillId="10" borderId="27" xfId="0" applyFont="1" applyFill="1" applyBorder="1" applyAlignment="1">
      <alignment horizontal="center"/>
    </xf>
    <xf numFmtId="0" fontId="12" fillId="10" borderId="2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/>
    </xf>
    <xf numFmtId="0" fontId="13" fillId="0" borderId="1" xfId="0" quotePrefix="1" applyFont="1" applyBorder="1" applyAlignment="1">
      <alignment vertical="top" wrapText="1"/>
    </xf>
    <xf numFmtId="0" fontId="13" fillId="0" borderId="9" xfId="0" quotePrefix="1" applyFont="1" applyBorder="1" applyAlignment="1">
      <alignment vertical="top" wrapText="1"/>
    </xf>
    <xf numFmtId="0" fontId="7" fillId="0" borderId="9" xfId="0" quotePrefix="1" applyFont="1" applyBorder="1"/>
    <xf numFmtId="0" fontId="13" fillId="0" borderId="5" xfId="0" applyFont="1" applyBorder="1" applyAlignment="1">
      <alignment vertical="top" wrapText="1"/>
    </xf>
    <xf numFmtId="0" fontId="13" fillId="0" borderId="5" xfId="0" quotePrefix="1" applyFont="1" applyBorder="1" applyAlignment="1">
      <alignment vertical="top" wrapText="1"/>
    </xf>
    <xf numFmtId="0" fontId="7" fillId="0" borderId="2" xfId="0" applyFont="1" applyBorder="1"/>
    <xf numFmtId="0" fontId="13" fillId="0" borderId="16" xfId="0" applyFont="1" applyBorder="1" applyAlignment="1">
      <alignment vertical="top" wrapText="1"/>
    </xf>
    <xf numFmtId="0" fontId="13" fillId="0" borderId="2" xfId="0" quotePrefix="1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12" fillId="5" borderId="0" xfId="0" applyFont="1" applyFill="1" applyAlignment="1">
      <alignment horizontal="left" vertical="top" wrapText="1"/>
    </xf>
    <xf numFmtId="0" fontId="7" fillId="0" borderId="9" xfId="0" applyFont="1" applyBorder="1" applyAlignment="1">
      <alignment horizontal="left"/>
    </xf>
    <xf numFmtId="0" fontId="14" fillId="7" borderId="9" xfId="0" applyFont="1" applyFill="1" applyBorder="1" applyAlignment="1">
      <alignment horizontal="left" vertical="center" wrapText="1" indent="1"/>
    </xf>
    <xf numFmtId="0" fontId="14" fillId="0" borderId="9" xfId="0" applyFont="1" applyBorder="1" applyAlignment="1">
      <alignment horizontal="left" vertical="center"/>
    </xf>
    <xf numFmtId="0" fontId="5" fillId="10" borderId="21" xfId="0" applyFont="1" applyFill="1" applyBorder="1" applyAlignment="1">
      <alignment horizontal="center" vertical="center"/>
    </xf>
    <xf numFmtId="0" fontId="5" fillId="10" borderId="21" xfId="0" applyFont="1" applyFill="1" applyBorder="1"/>
    <xf numFmtId="0" fontId="5" fillId="10" borderId="21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horizontal="left" vertical="top" wrapText="1"/>
    </xf>
    <xf numFmtId="0" fontId="7" fillId="10" borderId="21" xfId="0" applyFont="1" applyFill="1" applyBorder="1" applyAlignment="1">
      <alignment horizontal="center" vertical="top"/>
    </xf>
    <xf numFmtId="0" fontId="5" fillId="10" borderId="21" xfId="0" applyFont="1" applyFill="1" applyBorder="1" applyAlignment="1">
      <alignment horizontal="left" vertical="center" wrapText="1"/>
    </xf>
    <xf numFmtId="0" fontId="5" fillId="10" borderId="21" xfId="0" applyFont="1" applyFill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4" fillId="7" borderId="2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/>
    </xf>
    <xf numFmtId="0" fontId="14" fillId="0" borderId="5" xfId="0" applyFont="1" applyBorder="1" applyAlignment="1">
      <alignment vertical="center" wrapText="1"/>
    </xf>
    <xf numFmtId="0" fontId="14" fillId="0" borderId="5" xfId="0" applyFont="1" applyBorder="1" applyAlignment="1">
      <alignment horizontal="left" vertical="center" wrapText="1"/>
    </xf>
    <xf numFmtId="0" fontId="7" fillId="3" borderId="9" xfId="0" applyFont="1" applyFill="1" applyBorder="1" applyAlignment="1">
      <alignment horizontal="center" vertical="top"/>
    </xf>
    <xf numFmtId="0" fontId="14" fillId="7" borderId="9" xfId="0" applyFont="1" applyFill="1" applyBorder="1" applyAlignment="1">
      <alignment vertical="center" wrapText="1"/>
    </xf>
    <xf numFmtId="0" fontId="14" fillId="0" borderId="9" xfId="0" applyFont="1" applyBorder="1" applyAlignment="1">
      <alignment horizontal="left" vertical="center" wrapText="1"/>
    </xf>
    <xf numFmtId="0" fontId="7" fillId="3" borderId="22" xfId="0" applyFont="1" applyFill="1" applyBorder="1" applyAlignment="1">
      <alignment horizontal="center" vertical="top"/>
    </xf>
    <xf numFmtId="0" fontId="14" fillId="7" borderId="2" xfId="0" applyFont="1" applyFill="1" applyBorder="1" applyAlignment="1">
      <alignment vertical="center" wrapText="1"/>
    </xf>
    <xf numFmtId="0" fontId="7" fillId="3" borderId="23" xfId="0" applyFont="1" applyFill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23" xfId="0" applyFont="1" applyBorder="1" applyAlignment="1">
      <alignment horizontal="left"/>
    </xf>
    <xf numFmtId="0" fontId="14" fillId="7" borderId="23" xfId="0" applyFont="1" applyFill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/>
    </xf>
    <xf numFmtId="0" fontId="0" fillId="0" borderId="34" xfId="0" applyBorder="1"/>
    <xf numFmtId="0" fontId="5" fillId="6" borderId="27" xfId="0" applyFont="1" applyFill="1" applyBorder="1" applyAlignment="1">
      <alignment horizontal="center" vertical="top"/>
    </xf>
    <xf numFmtId="0" fontId="17" fillId="6" borderId="27" xfId="0" applyFont="1" applyFill="1" applyBorder="1" applyAlignment="1">
      <alignment horizontal="center" vertical="top" wrapText="1"/>
    </xf>
    <xf numFmtId="0" fontId="5" fillId="6" borderId="21" xfId="0" applyFont="1" applyFill="1" applyBorder="1" applyAlignment="1">
      <alignment horizontal="center" vertical="top"/>
    </xf>
    <xf numFmtId="0" fontId="13" fillId="0" borderId="5" xfId="0" applyFont="1" applyBorder="1" applyAlignment="1">
      <alignment vertical="top"/>
    </xf>
    <xf numFmtId="0" fontId="15" fillId="7" borderId="5" xfId="0" applyFont="1" applyFill="1" applyBorder="1" applyAlignment="1">
      <alignment horizontal="left" vertical="top" wrapText="1"/>
    </xf>
    <xf numFmtId="0" fontId="0" fillId="0" borderId="9" xfId="0" applyBorder="1" applyAlignment="1">
      <alignment vertical="top"/>
    </xf>
    <xf numFmtId="0" fontId="13" fillId="0" borderId="1" xfId="0" applyFont="1" applyBorder="1" applyAlignment="1">
      <alignment vertical="top"/>
    </xf>
    <xf numFmtId="0" fontId="13" fillId="0" borderId="1" xfId="0" applyFont="1" applyBorder="1" applyAlignment="1">
      <alignment horizontal="left" vertical="top" wrapText="1"/>
    </xf>
    <xf numFmtId="0" fontId="0" fillId="0" borderId="9" xfId="0" quotePrefix="1" applyBorder="1" applyAlignment="1">
      <alignment vertical="top" wrapText="1"/>
    </xf>
    <xf numFmtId="0" fontId="0" fillId="0" borderId="9" xfId="0" quotePrefix="1" applyBorder="1" applyAlignment="1">
      <alignment vertical="top"/>
    </xf>
    <xf numFmtId="0" fontId="22" fillId="0" borderId="9" xfId="0" applyFont="1" applyBorder="1" applyAlignment="1">
      <alignment vertical="top" wrapText="1"/>
    </xf>
    <xf numFmtId="0" fontId="0" fillId="0" borderId="23" xfId="0" applyBorder="1" applyAlignment="1">
      <alignment vertical="top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vertical="center" wrapText="1"/>
    </xf>
    <xf numFmtId="0" fontId="26" fillId="3" borderId="0" xfId="0" applyFont="1" applyFill="1" applyAlignment="1">
      <alignment wrapText="1"/>
    </xf>
    <xf numFmtId="0" fontId="27" fillId="3" borderId="0" xfId="0" applyFont="1" applyFill="1" applyAlignment="1">
      <alignment wrapText="1"/>
    </xf>
    <xf numFmtId="0" fontId="26" fillId="3" borderId="0" xfId="0" applyFont="1" applyFill="1" applyAlignment="1">
      <alignment horizontal="center" wrapText="1"/>
    </xf>
    <xf numFmtId="9" fontId="4" fillId="0" borderId="15" xfId="2" quotePrefix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 indent="1"/>
    </xf>
    <xf numFmtId="0" fontId="7" fillId="11" borderId="1" xfId="0" applyFont="1" applyFill="1" applyBorder="1" applyAlignment="1">
      <alignment wrapText="1"/>
    </xf>
    <xf numFmtId="0" fontId="21" fillId="11" borderId="1" xfId="0" applyFont="1" applyFill="1" applyBorder="1" applyAlignment="1">
      <alignment horizontal="left" vertical="center" wrapText="1" indent="1"/>
    </xf>
    <xf numFmtId="164" fontId="3" fillId="0" borderId="1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11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9" fontId="4" fillId="12" borderId="1" xfId="2" applyFont="1" applyFill="1" applyBorder="1" applyAlignment="1">
      <alignment horizontal="center" vertical="center" wrapText="1"/>
    </xf>
    <xf numFmtId="164" fontId="3" fillId="0" borderId="0" xfId="1" applyFont="1" applyBorder="1" applyAlignment="1">
      <alignment horizontal="center" vertical="center"/>
    </xf>
    <xf numFmtId="164" fontId="3" fillId="0" borderId="0" xfId="1" applyFont="1" applyBorder="1" applyAlignment="1">
      <alignment horizontal="center"/>
    </xf>
    <xf numFmtId="166" fontId="0" fillId="0" borderId="0" xfId="0" applyNumberFormat="1"/>
    <xf numFmtId="0" fontId="3" fillId="0" borderId="0" xfId="0" applyFont="1" applyAlignment="1">
      <alignment horizontal="center" vertical="center"/>
    </xf>
    <xf numFmtId="9" fontId="3" fillId="3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" fillId="11" borderId="0" xfId="0" applyFont="1" applyFill="1"/>
    <xf numFmtId="0" fontId="31" fillId="11" borderId="0" xfId="0" applyFont="1" applyFill="1"/>
    <xf numFmtId="0" fontId="23" fillId="7" borderId="9" xfId="0" applyFont="1" applyFill="1" applyBorder="1" applyAlignment="1">
      <alignment vertical="top" wrapText="1"/>
    </xf>
    <xf numFmtId="0" fontId="23" fillId="7" borderId="9" xfId="0" applyFont="1" applyFill="1" applyBorder="1" applyAlignment="1">
      <alignment vertical="top"/>
    </xf>
    <xf numFmtId="0" fontId="11" fillId="0" borderId="0" xfId="0" applyFont="1" applyAlignment="1">
      <alignment wrapText="1"/>
    </xf>
    <xf numFmtId="0" fontId="23" fillId="7" borderId="9" xfId="0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wrapText="1"/>
    </xf>
    <xf numFmtId="0" fontId="21" fillId="0" borderId="1" xfId="0" applyFont="1" applyBorder="1" applyAlignment="1">
      <alignment horizontal="left" vertical="center" wrapText="1" indent="1"/>
    </xf>
    <xf numFmtId="0" fontId="29" fillId="12" borderId="7" xfId="0" applyFont="1" applyFill="1" applyBorder="1" applyAlignment="1">
      <alignment horizontal="center"/>
    </xf>
    <xf numFmtId="9" fontId="3" fillId="0" borderId="2" xfId="2" quotePrefix="1" applyFont="1" applyBorder="1" applyAlignment="1">
      <alignment horizontal="center" vertical="center" wrapText="1"/>
    </xf>
    <xf numFmtId="9" fontId="3" fillId="0" borderId="4" xfId="2" quotePrefix="1" applyFont="1" applyBorder="1" applyAlignment="1">
      <alignment horizontal="center" vertical="center" wrapText="1"/>
    </xf>
    <xf numFmtId="9" fontId="3" fillId="0" borderId="5" xfId="2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2" quotePrefix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9" fontId="3" fillId="3" borderId="1" xfId="2" quotePrefix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3" fillId="0" borderId="4" xfId="2" applyFont="1" applyBorder="1" applyAlignment="1">
      <alignment horizontal="center" vertical="center" wrapText="1"/>
    </xf>
    <xf numFmtId="9" fontId="3" fillId="0" borderId="5" xfId="2" applyFont="1" applyBorder="1" applyAlignment="1">
      <alignment horizontal="center" vertical="center" wrapText="1"/>
    </xf>
    <xf numFmtId="9" fontId="4" fillId="0" borderId="16" xfId="2" quotePrefix="1" applyFont="1" applyBorder="1" applyAlignment="1">
      <alignment horizontal="center" vertical="top"/>
    </xf>
    <xf numFmtId="9" fontId="4" fillId="0" borderId="15" xfId="2" quotePrefix="1" applyFont="1" applyBorder="1" applyAlignment="1">
      <alignment horizontal="center" vertical="top"/>
    </xf>
    <xf numFmtId="9" fontId="3" fillId="11" borderId="1" xfId="2" applyFont="1" applyFill="1" applyBorder="1" applyAlignment="1">
      <alignment horizontal="center" vertical="center" wrapText="1"/>
    </xf>
    <xf numFmtId="9" fontId="4" fillId="0" borderId="1" xfId="2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9" fontId="10" fillId="0" borderId="1" xfId="2" applyFont="1" applyFill="1" applyBorder="1" applyAlignment="1">
      <alignment horizontal="left" vertical="top" wrapText="1"/>
    </xf>
    <xf numFmtId="9" fontId="10" fillId="0" borderId="1" xfId="2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9" fontId="3" fillId="4" borderId="22" xfId="2" applyFont="1" applyFill="1" applyBorder="1" applyAlignment="1">
      <alignment horizontal="left" vertical="center" wrapText="1"/>
    </xf>
    <xf numFmtId="9" fontId="3" fillId="4" borderId="38" xfId="2" applyFont="1" applyFill="1" applyBorder="1" applyAlignment="1">
      <alignment horizontal="left" vertical="center" wrapText="1"/>
    </xf>
    <xf numFmtId="9" fontId="3" fillId="4" borderId="34" xfId="2" applyFont="1" applyFill="1" applyBorder="1" applyAlignment="1">
      <alignment horizontal="left" vertical="center" wrapText="1"/>
    </xf>
    <xf numFmtId="9" fontId="3" fillId="0" borderId="1" xfId="2" applyFont="1" applyBorder="1" applyAlignment="1">
      <alignment horizontal="center" vertical="center"/>
    </xf>
    <xf numFmtId="9" fontId="3" fillId="0" borderId="2" xfId="2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9" fontId="3" fillId="3" borderId="2" xfId="2" applyFont="1" applyFill="1" applyBorder="1" applyAlignment="1">
      <alignment horizontal="center" vertical="center"/>
    </xf>
    <xf numFmtId="9" fontId="3" fillId="3" borderId="4" xfId="2" applyFont="1" applyFill="1" applyBorder="1" applyAlignment="1">
      <alignment horizontal="center" vertical="center"/>
    </xf>
    <xf numFmtId="9" fontId="3" fillId="3" borderId="11" xfId="2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9" fontId="3" fillId="0" borderId="13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quotePrefix="1" applyFont="1" applyBorder="1" applyAlignment="1">
      <alignment horizontal="center" vertical="top" wrapText="1"/>
    </xf>
    <xf numFmtId="0" fontId="12" fillId="5" borderId="19" xfId="0" applyFont="1" applyFill="1" applyBorder="1" applyAlignment="1">
      <alignment horizontal="center" vertical="top" wrapText="1"/>
    </xf>
    <xf numFmtId="0" fontId="12" fillId="5" borderId="20" xfId="0" applyFont="1" applyFill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top"/>
    </xf>
    <xf numFmtId="0" fontId="7" fillId="0" borderId="25" xfId="0" applyFont="1" applyBorder="1" applyAlignment="1">
      <alignment horizontal="center" vertical="top"/>
    </xf>
    <xf numFmtId="0" fontId="7" fillId="0" borderId="26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12" fillId="5" borderId="0" xfId="0" applyFont="1" applyFill="1" applyAlignment="1">
      <alignment horizontal="left" vertical="top" wrapText="1"/>
    </xf>
    <xf numFmtId="0" fontId="12" fillId="5" borderId="20" xfId="0" applyFont="1" applyFill="1" applyBorder="1" applyAlignment="1">
      <alignment horizontal="left" vertical="top" wrapText="1"/>
    </xf>
    <xf numFmtId="0" fontId="5" fillId="10" borderId="28" xfId="0" applyFont="1" applyFill="1" applyBorder="1" applyAlignment="1">
      <alignment horizontal="center" wrapText="1"/>
    </xf>
    <xf numFmtId="0" fontId="5" fillId="10" borderId="29" xfId="0" applyFont="1" applyFill="1" applyBorder="1" applyAlignment="1">
      <alignment horizontal="center" wrapText="1"/>
    </xf>
    <xf numFmtId="0" fontId="5" fillId="10" borderId="30" xfId="0" applyFont="1" applyFill="1" applyBorder="1" applyAlignment="1">
      <alignment horizontal="center" wrapText="1"/>
    </xf>
    <xf numFmtId="0" fontId="5" fillId="10" borderId="27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top" wrapText="1"/>
    </xf>
    <xf numFmtId="0" fontId="5" fillId="6" borderId="19" xfId="0" applyFont="1" applyFill="1" applyBorder="1" applyAlignment="1">
      <alignment horizontal="center" vertical="top" wrapText="1"/>
    </xf>
    <xf numFmtId="0" fontId="5" fillId="6" borderId="20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0" fillId="0" borderId="35" xfId="0" quotePrefix="1" applyBorder="1" applyAlignment="1">
      <alignment horizontal="center" vertical="top" wrapText="1"/>
    </xf>
    <xf numFmtId="0" fontId="0" fillId="0" borderId="36" xfId="0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5" fillId="10" borderId="27" xfId="0" applyFont="1" applyFill="1" applyBorder="1" applyAlignment="1">
      <alignment horizontal="left" wrapText="1"/>
    </xf>
    <xf numFmtId="0" fontId="13" fillId="0" borderId="2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18" xfId="0" quotePrefix="1" applyFont="1" applyBorder="1" applyAlignment="1">
      <alignment horizontal="left" vertical="center" wrapText="1"/>
    </xf>
    <xf numFmtId="0" fontId="13" fillId="0" borderId="33" xfId="0" quotePrefix="1" applyFont="1" applyBorder="1" applyAlignment="1">
      <alignment horizontal="left" vertical="center" wrapText="1"/>
    </xf>
    <xf numFmtId="0" fontId="13" fillId="0" borderId="10" xfId="0" quotePrefix="1" applyFont="1" applyBorder="1" applyAlignment="1">
      <alignment horizontal="left" vertical="center" wrapText="1"/>
    </xf>
    <xf numFmtId="0" fontId="12" fillId="10" borderId="27" xfId="0" applyFont="1" applyFill="1" applyBorder="1" applyAlignment="1">
      <alignment horizontal="left" wrapText="1"/>
    </xf>
    <xf numFmtId="0" fontId="16" fillId="10" borderId="27" xfId="0" applyFont="1" applyFill="1" applyBorder="1" applyAlignment="1">
      <alignment horizontal="left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wrapText="1"/>
    </xf>
    <xf numFmtId="0" fontId="5" fillId="6" borderId="20" xfId="0" applyFont="1" applyFill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wrapText="1"/>
    </xf>
    <xf numFmtId="0" fontId="7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wrapText="1"/>
    </xf>
    <xf numFmtId="0" fontId="21" fillId="0" borderId="15" xfId="0" applyFont="1" applyBorder="1" applyAlignment="1">
      <alignment horizontal="left"/>
    </xf>
    <xf numFmtId="0" fontId="21" fillId="0" borderId="3" xfId="0" applyFont="1" applyBorder="1" applyAlignment="1">
      <alignment horizontal="left"/>
    </xf>
    <xf numFmtId="0" fontId="3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6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Số lượng</a:t>
            </a:r>
            <a:r>
              <a:rPr lang="en-US"/>
              <a:t> đơn</a:t>
            </a:r>
            <a:r>
              <a:rPr lang="en-US" baseline="0"/>
              <a:t> COD trong tháng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3"/>
          <c:order val="1"/>
          <c:tx>
            <c:strRef>
              <c:f>'Thống kê dữ liệu'!$L$4</c:f>
              <c:strCache>
                <c:ptCount val="1"/>
                <c:pt idx="0">
                  <c:v>Dữ liệu thực tế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dữ liệu'!$H$5:$H$11</c:f>
              <c:strCache>
                <c:ptCount val="7"/>
                <c:pt idx="0">
                  <c:v> &lt; 60 đơn </c:v>
                </c:pt>
                <c:pt idx="1">
                  <c:v> 60 - 100 đơn </c:v>
                </c:pt>
                <c:pt idx="2">
                  <c:v> 100 - 200 đơn </c:v>
                </c:pt>
                <c:pt idx="3">
                  <c:v> 200 - 300 đơn </c:v>
                </c:pt>
                <c:pt idx="4">
                  <c:v> 300 - 400 đơn </c:v>
                </c:pt>
                <c:pt idx="5">
                  <c:v> 400 - 500 đơn </c:v>
                </c:pt>
                <c:pt idx="6">
                  <c:v> &gt;= 500 đơn </c:v>
                </c:pt>
              </c:strCache>
            </c:strRef>
          </c:cat>
          <c:val>
            <c:numRef>
              <c:f>'Thống kê dữ liệu'!$L$5:$L$11</c:f>
              <c:numCache>
                <c:formatCode>General</c:formatCode>
                <c:ptCount val="7"/>
                <c:pt idx="0">
                  <c:v>6.0606060606060608E-2</c:v>
                </c:pt>
                <c:pt idx="1">
                  <c:v>9.0909090909090912E-2</c:v>
                </c:pt>
                <c:pt idx="2">
                  <c:v>0.12121212121212122</c:v>
                </c:pt>
                <c:pt idx="3">
                  <c:v>0.15151515151515152</c:v>
                </c:pt>
                <c:pt idx="4">
                  <c:v>0.18181818181818182</c:v>
                </c:pt>
                <c:pt idx="5">
                  <c:v>0.18181818181818182</c:v>
                </c:pt>
                <c:pt idx="6">
                  <c:v>0.21212121212121213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00-4B2E-B456-D9A360E6F8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"/>
        <c:axId val="1818143375"/>
        <c:axId val="181814481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'Thống kê dữ liệu'!$J$4</c15:sqref>
                        </c15:formulaRef>
                      </c:ext>
                    </c:extLst>
                    <c:strCache>
                      <c:ptCount val="1"/>
                      <c:pt idx="0">
                        <c:v>VTT khảo sát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0.00%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'Thống kê dữ liệu'!$H$5:$H$11</c15:sqref>
                        </c15:formulaRef>
                      </c:ext>
                    </c:extLst>
                    <c:strCache>
                      <c:ptCount val="7"/>
                      <c:pt idx="0">
                        <c:v> &lt; 60 đơn </c:v>
                      </c:pt>
                      <c:pt idx="1">
                        <c:v> 60 - 100 đơn </c:v>
                      </c:pt>
                      <c:pt idx="2">
                        <c:v> 100 - 200 đơn </c:v>
                      </c:pt>
                      <c:pt idx="3">
                        <c:v> 200 - 300 đơn </c:v>
                      </c:pt>
                      <c:pt idx="4">
                        <c:v> 300 - 400 đơn </c:v>
                      </c:pt>
                      <c:pt idx="5">
                        <c:v> 400 - 500 đơn </c:v>
                      </c:pt>
                      <c:pt idx="6">
                        <c:v> &gt;= 500 đơn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'Thống kê dữ liệu'!$J$5:$J$11</c15:sqref>
                        </c15:formulaRef>
                      </c:ext>
                    </c:extLst>
                    <c:numCache>
                      <c:formatCode>0.0000</c:formatCode>
                      <c:ptCount val="7"/>
                      <c:pt idx="0">
                        <c:v>3.5714285714285712E-2</c:v>
                      </c:pt>
                      <c:pt idx="1">
                        <c:v>7.1428571428571425E-2</c:v>
                      </c:pt>
                      <c:pt idx="2">
                        <c:v>0.10714285714285714</c:v>
                      </c:pt>
                      <c:pt idx="3">
                        <c:v>0.14285714285714285</c:v>
                      </c:pt>
                      <c:pt idx="4">
                        <c:v>0.17857142857142858</c:v>
                      </c:pt>
                      <c:pt idx="5">
                        <c:v>0.21428571428571427</c:v>
                      </c:pt>
                      <c:pt idx="6">
                        <c:v>0.25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510-4E5D-9EBF-4D19B80A8F8C}"/>
                  </c:ext>
                </c:extLst>
              </c15:ser>
            </c15:filteredBarSeries>
          </c:ext>
        </c:extLst>
      </c:barChart>
      <c:catAx>
        <c:axId val="18181433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44815"/>
        <c:crosses val="autoZero"/>
        <c:auto val="1"/>
        <c:lblAlgn val="ctr"/>
        <c:lblOffset val="100"/>
        <c:noMultiLvlLbl val="0"/>
      </c:catAx>
      <c:valAx>
        <c:axId val="181814481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4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Trung</a:t>
            </a:r>
            <a:r>
              <a:rPr lang="en-US" baseline="0"/>
              <a:t> bình giá trị đơn COD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'Thống kê dữ liệu'!$J$19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dữ liệu'!$H$20:$H$27</c:f>
              <c:strCache>
                <c:ptCount val="8"/>
                <c:pt idx="0">
                  <c:v>&lt; 100k</c:v>
                </c:pt>
                <c:pt idx="1">
                  <c:v>100 - 200k</c:v>
                </c:pt>
                <c:pt idx="2">
                  <c:v>200 - 300k</c:v>
                </c:pt>
                <c:pt idx="3">
                  <c:v>300 - 400k</c:v>
                </c:pt>
                <c:pt idx="4">
                  <c:v>400 - 600k</c:v>
                </c:pt>
                <c:pt idx="5">
                  <c:v>600 - 800k</c:v>
                </c:pt>
                <c:pt idx="6">
                  <c:v>800 - 1000k</c:v>
                </c:pt>
                <c:pt idx="7">
                  <c:v>&gt;= 1000k</c:v>
                </c:pt>
              </c:strCache>
            </c:strRef>
          </c:cat>
          <c:val>
            <c:numRef>
              <c:f>'Thống kê dữ liệu'!$J$20:$J$27</c:f>
              <c:numCache>
                <c:formatCode>General</c:formatCode>
                <c:ptCount val="8"/>
                <c:pt idx="0">
                  <c:v>2.7777777777777776E-2</c:v>
                </c:pt>
                <c:pt idx="1">
                  <c:v>5.5555555555555552E-2</c:v>
                </c:pt>
                <c:pt idx="2">
                  <c:v>8.3333333333333329E-2</c:v>
                </c:pt>
                <c:pt idx="3">
                  <c:v>0.1111111111111111</c:v>
                </c:pt>
                <c:pt idx="4">
                  <c:v>0.1388888888888889</c:v>
                </c:pt>
                <c:pt idx="5">
                  <c:v>0.16666666666666666</c:v>
                </c:pt>
                <c:pt idx="6">
                  <c:v>0.19444444444444445</c:v>
                </c:pt>
                <c:pt idx="7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9-4832-8BD1-91EEFC86BF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"/>
        <c:axId val="1427171055"/>
        <c:axId val="14271662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'Thống kê dữ liệu'!$I$19</c15:sqref>
                        </c15:formulaRef>
                      </c:ext>
                    </c:extLst>
                    <c:strCache>
                      <c:ptCount val="1"/>
                      <c:pt idx="0">
                        <c:v>Số lượng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'Thống kê dữ liệu'!$H$20:$H$27</c15:sqref>
                        </c15:formulaRef>
                      </c:ext>
                    </c:extLst>
                    <c:strCache>
                      <c:ptCount val="8"/>
                      <c:pt idx="0">
                        <c:v>&lt; 100k</c:v>
                      </c:pt>
                      <c:pt idx="1">
                        <c:v>100 - 200k</c:v>
                      </c:pt>
                      <c:pt idx="2">
                        <c:v>200 - 300k</c:v>
                      </c:pt>
                      <c:pt idx="3">
                        <c:v>300 - 400k</c:v>
                      </c:pt>
                      <c:pt idx="4">
                        <c:v>400 - 600k</c:v>
                      </c:pt>
                      <c:pt idx="5">
                        <c:v>600 - 800k</c:v>
                      </c:pt>
                      <c:pt idx="6">
                        <c:v>800 - 1000k</c:v>
                      </c:pt>
                      <c:pt idx="7">
                        <c:v>&gt;= 1000k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'Thống kê dữ liệu'!$I$20:$I$27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639-4832-8BD1-91EEFC86BF50}"/>
                  </c:ext>
                </c:extLst>
              </c15:ser>
            </c15:filteredBarSeries>
          </c:ext>
        </c:extLst>
      </c:barChart>
      <c:catAx>
        <c:axId val="14271710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166255"/>
        <c:crosses val="autoZero"/>
        <c:auto val="1"/>
        <c:lblAlgn val="ctr"/>
        <c:lblOffset val="100"/>
        <c:noMultiLvlLbl val="0"/>
      </c:catAx>
      <c:valAx>
        <c:axId val="14271662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17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Tỉ</a:t>
            </a:r>
            <a:r>
              <a:rPr lang="en-US" baseline="0"/>
              <a:t> lệ giao hàng thành công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'Thống kê dữ liệu'!$J$35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dữ liệu'!$H$36:$H$42</c:f>
              <c:strCache>
                <c:ptCount val="7"/>
                <c:pt idx="0">
                  <c:v>&lt; 85%</c:v>
                </c:pt>
                <c:pt idx="1">
                  <c:v>85 - 87%</c:v>
                </c:pt>
                <c:pt idx="2">
                  <c:v>87 - 90%</c:v>
                </c:pt>
                <c:pt idx="3">
                  <c:v>90 - 92%</c:v>
                </c:pt>
                <c:pt idx="4">
                  <c:v>92 - 95%</c:v>
                </c:pt>
                <c:pt idx="5">
                  <c:v>95 - 97%</c:v>
                </c:pt>
                <c:pt idx="6">
                  <c:v>&gt;= 97%</c:v>
                </c:pt>
              </c:strCache>
            </c:strRef>
          </c:cat>
          <c:val>
            <c:numRef>
              <c:f>'Thống kê dữ liệu'!$J$36:$J$42</c:f>
              <c:numCache>
                <c:formatCode>General</c:formatCode>
                <c:ptCount val="7"/>
                <c:pt idx="0">
                  <c:v>3.5714285714285712E-2</c:v>
                </c:pt>
                <c:pt idx="1">
                  <c:v>7.1428571428571425E-2</c:v>
                </c:pt>
                <c:pt idx="2">
                  <c:v>0.10714285714285714</c:v>
                </c:pt>
                <c:pt idx="3">
                  <c:v>0.14285714285714285</c:v>
                </c:pt>
                <c:pt idx="4">
                  <c:v>0.17857142857142858</c:v>
                </c:pt>
                <c:pt idx="5">
                  <c:v>0.21428571428571427</c:v>
                </c:pt>
                <c:pt idx="6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2-4EBA-9980-D23554BF59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"/>
        <c:axId val="1968745615"/>
        <c:axId val="1968746095"/>
      </c:barChart>
      <c:catAx>
        <c:axId val="19687456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746095"/>
        <c:crosses val="autoZero"/>
        <c:auto val="1"/>
        <c:lblAlgn val="ctr"/>
        <c:lblOffset val="100"/>
        <c:noMultiLvlLbl val="0"/>
      </c:catAx>
      <c:valAx>
        <c:axId val="19687460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74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Phân</a:t>
            </a:r>
            <a:r>
              <a:rPr lang="en-US" baseline="0"/>
              <a:t> bố tuổi shop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'Thống kê dữ liệu'!$J$51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dữ liệu'!$H$52:$H$55</c:f>
              <c:strCache>
                <c:ptCount val="4"/>
                <c:pt idx="0">
                  <c:v>&lt; 3 tháng</c:v>
                </c:pt>
                <c:pt idx="1">
                  <c:v>3- 6 tháng</c:v>
                </c:pt>
                <c:pt idx="2">
                  <c:v>6-12 tháng</c:v>
                </c:pt>
                <c:pt idx="3">
                  <c:v>&gt;= 12 tháng</c:v>
                </c:pt>
              </c:strCache>
            </c:strRef>
          </c:cat>
          <c:val>
            <c:numRef>
              <c:f>'Thống kê dữ liệu'!$J$52:$J$55</c:f>
              <c:numCache>
                <c:formatCode>General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F-47F2-B10C-BB76C58385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"/>
        <c:axId val="2036854991"/>
        <c:axId val="2036856911"/>
      </c:barChart>
      <c:catAx>
        <c:axId val="20368549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856911"/>
        <c:crosses val="autoZero"/>
        <c:auto val="1"/>
        <c:lblAlgn val="ctr"/>
        <c:lblOffset val="100"/>
        <c:noMultiLvlLbl val="0"/>
      </c:catAx>
      <c:valAx>
        <c:axId val="20368569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85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685800</xdr:colOff>
      <xdr:row>1</xdr:row>
      <xdr:rowOff>338137</xdr:rowOff>
    </xdr:from>
    <xdr:to>
      <xdr:col>14</xdr:col>
      <xdr:colOff>1924050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9BA54-0854-7A40-FA62-833897FF2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714375</xdr:colOff>
      <xdr:row>17</xdr:row>
      <xdr:rowOff>171450</xdr:rowOff>
    </xdr:from>
    <xdr:to>
      <xdr:col>13</xdr:col>
      <xdr:colOff>1143000</xdr:colOff>
      <xdr:row>31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8C02FF-2068-A45E-2DEE-A28BF750524D}"/>
            </a:ext>
            <a:ext uri="{147F2762-F138-4A5C-976F-8EAC2B608ADB}">
              <a16:predDERef xmlns:a16="http://schemas.microsoft.com/office/drawing/2014/main" pred="{AAB9BA54-0854-7A40-FA62-833897FF2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762000</xdr:colOff>
      <xdr:row>33</xdr:row>
      <xdr:rowOff>167640</xdr:rowOff>
    </xdr:from>
    <xdr:to>
      <xdr:col>12</xdr:col>
      <xdr:colOff>411480</xdr:colOff>
      <xdr:row>47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D16F3E-C9AF-6058-677A-572DAA32C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792480</xdr:colOff>
      <xdr:row>49</xdr:row>
      <xdr:rowOff>91440</xdr:rowOff>
    </xdr:from>
    <xdr:to>
      <xdr:col>12</xdr:col>
      <xdr:colOff>441960</xdr:colOff>
      <xdr:row>64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0C181C-0483-3B15-CDB3-00E9EBF9C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235252</xdr:colOff>
      <xdr:row>12</xdr:row>
      <xdr:rowOff>18142</xdr:rowOff>
    </xdr:from>
    <xdr:to>
      <xdr:col>4</xdr:col>
      <xdr:colOff>1087966</xdr:colOff>
      <xdr:row>14</xdr:row>
      <xdr:rowOff>453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D44858C-591D-1859-6B98-90393D80BBA7}"/>
            </a:ext>
          </a:extLst>
        </xdr:cNvPr>
        <xdr:cNvSpPr/>
      </xdr:nvSpPr>
      <xdr:spPr>
        <a:xfrm>
          <a:off x="7897585" y="2219475"/>
          <a:ext cx="852714" cy="33791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27214</xdr:colOff>
      <xdr:row>3</xdr:row>
      <xdr:rowOff>108857</xdr:rowOff>
    </xdr:from>
    <xdr:to>
      <xdr:col>4</xdr:col>
      <xdr:colOff>1542143</xdr:colOff>
      <xdr:row>5</xdr:row>
      <xdr:rowOff>108857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C5F61601-0029-9B0A-340E-6ECBF50EA530}"/>
            </a:ext>
          </a:extLst>
        </xdr:cNvPr>
        <xdr:cNvCxnSpPr/>
      </xdr:nvCxnSpPr>
      <xdr:spPr>
        <a:xfrm flipV="1">
          <a:off x="7692571" y="716643"/>
          <a:ext cx="1514929" cy="362857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786946</xdr:colOff>
      <xdr:row>12</xdr:row>
      <xdr:rowOff>154213</xdr:rowOff>
    </xdr:from>
    <xdr:to>
      <xdr:col>13</xdr:col>
      <xdr:colOff>1440087</xdr:colOff>
      <xdr:row>14</xdr:row>
      <xdr:rowOff>65767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D80E54B-00E7-4165-A970-15CB47E3BC76}"/>
            </a:ext>
          </a:extLst>
        </xdr:cNvPr>
        <xdr:cNvSpPr/>
      </xdr:nvSpPr>
      <xdr:spPr>
        <a:xfrm>
          <a:off x="18074821" y="2329088"/>
          <a:ext cx="653141" cy="43542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4762</xdr:colOff>
      <xdr:row>3</xdr:row>
      <xdr:rowOff>90488</xdr:rowOff>
    </xdr:from>
    <xdr:to>
      <xdr:col>4</xdr:col>
      <xdr:colOff>1176337</xdr:colOff>
      <xdr:row>34</xdr:row>
      <xdr:rowOff>157163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04B22CE7-85EF-404F-810E-1767B8F4F56F}"/>
            </a:ext>
            <a:ext uri="{147F2762-F138-4A5C-976F-8EAC2B608ADB}">
              <a16:predDERef xmlns:a16="http://schemas.microsoft.com/office/drawing/2014/main" pred="{6D80E54B-00E7-4165-A970-15CB47E3BC76}"/>
            </a:ext>
          </a:extLst>
        </xdr:cNvPr>
        <xdr:cNvCxnSpPr>
          <a:cxnSpLocks/>
        </xdr:cNvCxnSpPr>
      </xdr:nvCxnSpPr>
      <xdr:spPr>
        <a:xfrm rot="5400000" flipH="1" flipV="1">
          <a:off x="57150" y="5829300"/>
          <a:ext cx="13373100" cy="3495675"/>
        </a:xfrm>
        <a:prstGeom prst="bentConnector3">
          <a:avLst>
            <a:gd name="adj1" fmla="val 2261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5</xdr:row>
      <xdr:rowOff>533400</xdr:rowOff>
    </xdr:from>
    <xdr:to>
      <xdr:col>7</xdr:col>
      <xdr:colOff>0</xdr:colOff>
      <xdr:row>5</xdr:row>
      <xdr:rowOff>542925</xdr:rowOff>
    </xdr:to>
    <xdr:cxnSp macro="">
      <xdr:nvCxnSpPr>
        <xdr:cNvPr id="2" name="Đường nối thẳng 1">
          <a:extLst>
            <a:ext uri="{FF2B5EF4-FFF2-40B4-BE49-F238E27FC236}">
              <a16:creationId xmlns:a16="http://schemas.microsoft.com/office/drawing/2014/main" id="{6766CDDA-4B1E-0A28-FA2C-206DB99E68D1}"/>
            </a:ext>
          </a:extLst>
        </xdr:cNvPr>
        <xdr:cNvCxnSpPr>
          <a:cxnSpLocks/>
        </xdr:cNvCxnSpPr>
      </xdr:nvCxnSpPr>
      <xdr:spPr>
        <a:xfrm flipV="1">
          <a:off x="7848600" y="2295525"/>
          <a:ext cx="1809750" cy="95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3381375</xdr:colOff>
      <xdr:row>3</xdr:row>
      <xdr:rowOff>104775</xdr:rowOff>
    </xdr:from>
    <xdr:to>
      <xdr:col>6</xdr:col>
      <xdr:colOff>600075</xdr:colOff>
      <xdr:row>55</xdr:row>
      <xdr:rowOff>85725</xdr:rowOff>
    </xdr:to>
    <xdr:cxnSp macro="">
      <xdr:nvCxnSpPr>
        <xdr:cNvPr id="4" name="Đường kết nối gấp khúc 3">
          <a:extLst>
            <a:ext uri="{FF2B5EF4-FFF2-40B4-BE49-F238E27FC236}">
              <a16:creationId xmlns:a16="http://schemas.microsoft.com/office/drawing/2014/main" id="{94DC01F6-0B0E-CC5A-3AFB-8186CEC1E0F3}"/>
            </a:ext>
            <a:ext uri="{147F2762-F138-4A5C-976F-8EAC2B608ADB}">
              <a16:predDERef xmlns:a16="http://schemas.microsoft.com/office/drawing/2014/main" pred="{6766CDDA-4B1E-0A28-FA2C-206DB99E68D1}"/>
            </a:ext>
          </a:extLst>
        </xdr:cNvPr>
        <xdr:cNvCxnSpPr>
          <a:cxnSpLocks/>
        </xdr:cNvCxnSpPr>
      </xdr:nvCxnSpPr>
      <xdr:spPr>
        <a:xfrm flipV="1">
          <a:off x="5248275" y="1123950"/>
          <a:ext cx="4400550" cy="15725775"/>
        </a:xfrm>
        <a:prstGeom prst="bentConnector5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205921</xdr:colOff>
      <xdr:row>18</xdr:row>
      <xdr:rowOff>57150</xdr:rowOff>
    </xdr:from>
    <xdr:to>
      <xdr:col>5</xdr:col>
      <xdr:colOff>459921</xdr:colOff>
      <xdr:row>20</xdr:row>
      <xdr:rowOff>117927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64050A8-769C-EFED-E0EE-DA96BC47E249}"/>
            </a:ext>
          </a:extLst>
        </xdr:cNvPr>
        <xdr:cNvSpPr/>
      </xdr:nvSpPr>
      <xdr:spPr>
        <a:xfrm>
          <a:off x="6066064" y="3495221"/>
          <a:ext cx="861786" cy="42363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63500</xdr:colOff>
      <xdr:row>14</xdr:row>
      <xdr:rowOff>99785</xdr:rowOff>
    </xdr:from>
    <xdr:to>
      <xdr:col>5</xdr:col>
      <xdr:colOff>580571</xdr:colOff>
      <xdr:row>14</xdr:row>
      <xdr:rowOff>117928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5C90A618-0C3F-F242-F59D-0F86698115FA}"/>
            </a:ext>
          </a:extLst>
        </xdr:cNvPr>
        <xdr:cNvCxnSpPr/>
      </xdr:nvCxnSpPr>
      <xdr:spPr>
        <a:xfrm flipV="1">
          <a:off x="5923643" y="3438071"/>
          <a:ext cx="1124857" cy="18143"/>
        </a:xfrm>
        <a:prstGeom prst="bentConnector3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84831-1084-4B34-9823-A2D6554AA4BB}" name="Table1" displayName="Table1" ref="H4:L11" totalsRowShown="0">
  <autoFilter ref="H4:L11" xr:uid="{BEB84831-1084-4B34-9823-A2D6554AA4BB}"/>
  <tableColumns count="5">
    <tableColumn id="1" xr3:uid="{A3C07787-6C9A-4C35-A04E-445E67EA22A8}" name="Khoảng" dataDxfId="9" dataCellStyle="Comma"/>
    <tableColumn id="2" xr3:uid="{97C83974-90D5-4EF4-A528-CD043F79815A}" name="Số lượng"/>
    <tableColumn id="3" xr3:uid="{47677648-B558-4A69-A9D7-01D91D9BB1EE}" name="VTT khảo sát" dataDxfId="8">
      <calculatedColumnFormula>Table1[[#This Row],[Số lượng]]/SUM(Table1[Số lượng])</calculatedColumnFormula>
    </tableColumn>
    <tableColumn id="4" xr3:uid="{00AECEB1-41D1-4435-B1CE-3DAF0F04E66B}" name="Thực tế" dataDxfId="7">
      <calculatedColumnFormula>197423+8157</calculatedColumnFormula>
    </tableColumn>
    <tableColumn id="5" xr3:uid="{408DDB0E-83F0-4FFD-962E-1E12A266DBC3}" name="Dữ liệu thực tế" dataDxfId="6">
      <calculatedColumnFormula>Table1[[#This Row],[Thực tế]]/SUM(Table1[Thực tế])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E5645E-1DC8-4DF0-BED0-FCC73AB04900}" name="Table2" displayName="Table2" ref="H19:J27" totalsRowShown="0">
  <autoFilter ref="H19:J27" xr:uid="{3CE5645E-1DC8-4DF0-BED0-FCC73AB04900}"/>
  <tableColumns count="3">
    <tableColumn id="1" xr3:uid="{B60425CF-0D7E-446F-8C06-C3B99456C087}" name="Khoảng" dataDxfId="5"/>
    <tableColumn id="2" xr3:uid="{B1322DC3-1CAC-42BF-9405-C233E5F278CF}" name="Số lượng"/>
    <tableColumn id="3" xr3:uid="{24C56FC0-F0C5-4EC5-8F19-7DB80346C44E}" name="Percentage" dataDxfId="4">
      <calculatedColumnFormula>Table2[[#This Row],[Số lượng]]/SUM(Table2[Số lượng])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DEE84E-DF90-4C16-80CB-1C981429BE2F}" name="Table3" displayName="Table3" ref="H35:J42" totalsRowShown="0">
  <autoFilter ref="H35:J42" xr:uid="{30DEE84E-DF90-4C16-80CB-1C981429BE2F}"/>
  <tableColumns count="3">
    <tableColumn id="1" xr3:uid="{11E23120-88C7-4A3A-8FAC-0C5B0E752A34}" name="Khoảng" dataDxfId="3"/>
    <tableColumn id="2" xr3:uid="{52A94AF2-276E-4CB3-9786-80890C83B154}" name="Số lượng"/>
    <tableColumn id="3" xr3:uid="{781FB548-7119-4877-99A3-A8E8A885F3DF}" name="Percentage" dataDxfId="2">
      <calculatedColumnFormula>Table3[[#This Row],[Số lượng]]/SUM(Table3[Số lượng])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E7C5B9-9241-43C4-AC35-96A8198F1EDE}" name="Table4" displayName="Table4" ref="H51:J55" totalsRowShown="0">
  <autoFilter ref="H51:J55" xr:uid="{07E7C5B9-9241-43C4-AC35-96A8198F1EDE}"/>
  <tableColumns count="3">
    <tableColumn id="1" xr3:uid="{7ABE6234-F2FE-42B0-8B00-B2B7BDDEBF9E}" name="Khoảng" dataDxfId="1"/>
    <tableColumn id="2" xr3:uid="{8FCD88A1-3A00-4525-A136-A58F833E4FB7}" name="Số lượng"/>
    <tableColumn id="3" xr3:uid="{FC9BE5AF-CB50-407E-8814-DE31100A18D7}" name="Percentage" dataDxfId="0">
      <calculatedColumnFormula>Table4[[#This Row],[Số lượng]]/SUM(Table4[Số lượng])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D202-FA85-4C73-B6BE-EFA790AF6CFF}">
  <sheetPr>
    <tabColor rgb="FF92D050"/>
  </sheetPr>
  <dimension ref="A1:L55"/>
  <sheetViews>
    <sheetView tabSelected="1" workbookViewId="0">
      <selection sqref="A1:F1"/>
    </sheetView>
  </sheetViews>
  <sheetFormatPr defaultColWidth="35.875" defaultRowHeight="13.5" x14ac:dyDescent="0.35"/>
  <cols>
    <col min="1" max="1" width="13.6875" bestFit="1" customWidth="1"/>
    <col min="2" max="2" width="55.6875" bestFit="1" customWidth="1"/>
    <col min="3" max="3" width="47.875" bestFit="1" customWidth="1"/>
    <col min="4" max="4" width="19.125" bestFit="1" customWidth="1"/>
    <col min="5" max="5" width="19.125" customWidth="1"/>
    <col min="6" max="6" width="15.875" bestFit="1" customWidth="1"/>
    <col min="8" max="8" width="26.3125" bestFit="1" customWidth="1"/>
    <col min="9" max="9" width="10.4375" bestFit="1" customWidth="1"/>
    <col min="10" max="10" width="12.5625" bestFit="1" customWidth="1"/>
    <col min="11" max="11" width="13.875" customWidth="1"/>
    <col min="12" max="12" width="15.6875" customWidth="1"/>
  </cols>
  <sheetData>
    <row r="1" spans="1:12" ht="18.75" x14ac:dyDescent="0.5">
      <c r="A1" s="255" t="s">
        <v>0</v>
      </c>
      <c r="B1" s="255"/>
      <c r="C1" s="255"/>
      <c r="D1" s="255"/>
      <c r="E1" s="255"/>
      <c r="F1" s="255"/>
      <c r="H1" s="365" t="s">
        <v>680</v>
      </c>
    </row>
    <row r="2" spans="1:12" ht="33" customHeight="1" x14ac:dyDescent="0.35">
      <c r="A2" s="237" t="s">
        <v>1</v>
      </c>
      <c r="B2" s="238" t="s">
        <v>2</v>
      </c>
      <c r="C2" s="239" t="s">
        <v>3</v>
      </c>
      <c r="D2" s="237" t="s">
        <v>4</v>
      </c>
      <c r="E2" s="237" t="s">
        <v>5</v>
      </c>
      <c r="F2" s="238" t="s">
        <v>6</v>
      </c>
    </row>
    <row r="3" spans="1:12" ht="15.4" x14ac:dyDescent="0.35">
      <c r="A3" s="269">
        <v>1</v>
      </c>
      <c r="B3" s="266" t="s">
        <v>7</v>
      </c>
      <c r="C3" s="264" t="s">
        <v>8</v>
      </c>
      <c r="D3" s="227" t="s">
        <v>9</v>
      </c>
      <c r="E3" s="227"/>
      <c r="F3" s="263" t="s">
        <v>10</v>
      </c>
      <c r="H3" t="s">
        <v>11</v>
      </c>
    </row>
    <row r="4" spans="1:12" ht="15.4" x14ac:dyDescent="0.45">
      <c r="A4" s="269"/>
      <c r="B4" s="266"/>
      <c r="C4" s="264"/>
      <c r="D4" s="4" t="s">
        <v>12</v>
      </c>
      <c r="E4" s="4"/>
      <c r="F4" s="263"/>
      <c r="H4" t="s">
        <v>13</v>
      </c>
      <c r="I4" t="s">
        <v>14</v>
      </c>
      <c r="J4" t="s">
        <v>15</v>
      </c>
      <c r="K4" t="s">
        <v>16</v>
      </c>
      <c r="L4" t="s">
        <v>17</v>
      </c>
    </row>
    <row r="5" spans="1:12" ht="15.4" x14ac:dyDescent="0.45">
      <c r="A5" s="269"/>
      <c r="B5" s="266"/>
      <c r="C5" s="264"/>
      <c r="D5" s="4" t="s">
        <v>18</v>
      </c>
      <c r="E5" s="4"/>
      <c r="F5" s="263"/>
      <c r="H5" s="240" t="s">
        <v>9</v>
      </c>
      <c r="I5">
        <v>1</v>
      </c>
      <c r="J5" s="242">
        <f>Table1[[#This Row],[Số lượng]]/SUM(Table1[Số lượng])</f>
        <v>3.5714285714285712E-2</v>
      </c>
      <c r="K5">
        <v>2</v>
      </c>
      <c r="L5">
        <f>Table1[[#This Row],[Thực tế]]/SUM(Table1[Thực tế])</f>
        <v>6.0606060606060608E-2</v>
      </c>
    </row>
    <row r="6" spans="1:12" ht="15.4" x14ac:dyDescent="0.45">
      <c r="A6" s="269"/>
      <c r="B6" s="266"/>
      <c r="C6" s="264"/>
      <c r="D6" s="4" t="s">
        <v>19</v>
      </c>
      <c r="E6" s="4"/>
      <c r="F6" s="263"/>
      <c r="H6" s="241" t="s">
        <v>12</v>
      </c>
      <c r="I6">
        <v>2</v>
      </c>
      <c r="J6" s="242">
        <f>Table1[[#This Row],[Số lượng]]/SUM(Table1[Số lượng])</f>
        <v>7.1428571428571425E-2</v>
      </c>
      <c r="K6">
        <v>3</v>
      </c>
      <c r="L6">
        <f>Table1[[#This Row],[Thực tế]]/SUM(Table1[Thực tế])</f>
        <v>9.0909090909090912E-2</v>
      </c>
    </row>
    <row r="7" spans="1:12" ht="15.4" x14ac:dyDescent="0.45">
      <c r="A7" s="269"/>
      <c r="B7" s="266"/>
      <c r="C7" s="264"/>
      <c r="D7" s="4" t="s">
        <v>20</v>
      </c>
      <c r="E7" s="4"/>
      <c r="F7" s="263"/>
      <c r="H7" s="241" t="s">
        <v>21</v>
      </c>
      <c r="I7">
        <v>3</v>
      </c>
      <c r="J7" s="242">
        <f>Table1[[#This Row],[Số lượng]]/SUM(Table1[Số lượng])</f>
        <v>0.10714285714285714</v>
      </c>
      <c r="K7">
        <v>4</v>
      </c>
      <c r="L7">
        <f>Table1[[#This Row],[Thực tế]]/SUM(Table1[Thực tế])</f>
        <v>0.12121212121212122</v>
      </c>
    </row>
    <row r="8" spans="1:12" ht="15.4" x14ac:dyDescent="0.45">
      <c r="A8" s="269"/>
      <c r="B8" s="266"/>
      <c r="C8" s="264"/>
      <c r="D8" s="4" t="s">
        <v>22</v>
      </c>
      <c r="E8" s="4"/>
      <c r="F8" s="263"/>
      <c r="H8" s="241" t="s">
        <v>20</v>
      </c>
      <c r="I8">
        <v>4</v>
      </c>
      <c r="J8" s="242">
        <f>Table1[[#This Row],[Số lượng]]/SUM(Table1[Số lượng])</f>
        <v>0.14285714285714285</v>
      </c>
      <c r="K8">
        <v>5</v>
      </c>
      <c r="L8">
        <f>Table1[[#This Row],[Thực tế]]/SUM(Table1[Thực tế])</f>
        <v>0.15151515151515152</v>
      </c>
    </row>
    <row r="9" spans="1:12" ht="15.4" x14ac:dyDescent="0.45">
      <c r="A9" s="269"/>
      <c r="B9" s="266"/>
      <c r="C9" s="264"/>
      <c r="D9" s="4" t="s">
        <v>23</v>
      </c>
      <c r="E9" s="4"/>
      <c r="F9" s="263"/>
      <c r="H9" s="241" t="s">
        <v>22</v>
      </c>
      <c r="I9">
        <v>5</v>
      </c>
      <c r="J9" s="242">
        <f>Table1[[#This Row],[Số lượng]]/SUM(Table1[Số lượng])</f>
        <v>0.17857142857142858</v>
      </c>
      <c r="K9">
        <v>6</v>
      </c>
      <c r="L9">
        <f>Table1[[#This Row],[Thực tế]]/SUM(Table1[Thực tế])</f>
        <v>0.18181818181818182</v>
      </c>
    </row>
    <row r="10" spans="1:12" ht="15.4" x14ac:dyDescent="0.45">
      <c r="A10" s="269"/>
      <c r="B10" s="266"/>
      <c r="C10" s="264"/>
      <c r="D10" s="4" t="s">
        <v>24</v>
      </c>
      <c r="E10" s="4"/>
      <c r="F10" s="263"/>
      <c r="H10" s="241" t="s">
        <v>23</v>
      </c>
      <c r="I10">
        <v>6</v>
      </c>
      <c r="J10" s="242">
        <f>Table1[[#This Row],[Số lượng]]/SUM(Table1[Số lượng])</f>
        <v>0.21428571428571427</v>
      </c>
      <c r="K10">
        <v>6</v>
      </c>
      <c r="L10">
        <f>Table1[[#This Row],[Thực tế]]/SUM(Table1[Thực tế])</f>
        <v>0.18181818181818182</v>
      </c>
    </row>
    <row r="11" spans="1:12" ht="15.4" x14ac:dyDescent="0.45">
      <c r="A11" s="263">
        <v>2</v>
      </c>
      <c r="B11" s="266" t="s">
        <v>25</v>
      </c>
      <c r="C11" s="264" t="s">
        <v>26</v>
      </c>
      <c r="D11" s="6" t="s">
        <v>27</v>
      </c>
      <c r="E11" s="6"/>
      <c r="F11" s="263" t="s">
        <v>10</v>
      </c>
      <c r="H11" s="241" t="s">
        <v>24</v>
      </c>
      <c r="I11">
        <v>7</v>
      </c>
      <c r="J11" s="242">
        <f>Table1[[#This Row],[Số lượng]]/SUM(Table1[Số lượng])</f>
        <v>0.25</v>
      </c>
      <c r="K11">
        <v>7</v>
      </c>
      <c r="L11">
        <f>Table1[[#This Row],[Thực tế]]/SUM(Table1[Thực tế])</f>
        <v>0.21212121212121213</v>
      </c>
    </row>
    <row r="12" spans="1:12" ht="15.4" x14ac:dyDescent="0.45">
      <c r="A12" s="263"/>
      <c r="B12" s="266"/>
      <c r="C12" s="264"/>
      <c r="D12" s="6" t="s">
        <v>28</v>
      </c>
      <c r="E12" s="6"/>
      <c r="F12" s="263"/>
    </row>
    <row r="13" spans="1:12" ht="15.4" x14ac:dyDescent="0.45">
      <c r="A13" s="263"/>
      <c r="B13" s="266"/>
      <c r="C13" s="264"/>
      <c r="D13" s="6" t="s">
        <v>29</v>
      </c>
      <c r="E13" s="6"/>
      <c r="F13" s="263"/>
      <c r="H13">
        <f>SUM(Table1[Số lượng])</f>
        <v>28</v>
      </c>
    </row>
    <row r="14" spans="1:12" ht="15.4" x14ac:dyDescent="0.45">
      <c r="A14" s="263"/>
      <c r="B14" s="266"/>
      <c r="C14" s="264"/>
      <c r="D14" s="6" t="s">
        <v>30</v>
      </c>
      <c r="E14" s="6"/>
      <c r="F14" s="263"/>
    </row>
    <row r="15" spans="1:12" ht="15.4" x14ac:dyDescent="0.45">
      <c r="A15" s="263"/>
      <c r="B15" s="266"/>
      <c r="C15" s="265"/>
      <c r="D15" s="6" t="s">
        <v>31</v>
      </c>
      <c r="E15" s="6"/>
      <c r="F15" s="263"/>
    </row>
    <row r="16" spans="1:12" ht="15.4" x14ac:dyDescent="0.45">
      <c r="A16" s="263"/>
      <c r="B16" s="266"/>
      <c r="C16" s="265"/>
      <c r="D16" s="6" t="s">
        <v>32</v>
      </c>
      <c r="E16" s="6"/>
      <c r="F16" s="263"/>
    </row>
    <row r="17" spans="1:10" ht="15.4" x14ac:dyDescent="0.45">
      <c r="A17" s="263"/>
      <c r="B17" s="266"/>
      <c r="C17" s="265"/>
      <c r="D17" s="6" t="s">
        <v>33</v>
      </c>
      <c r="E17" s="6"/>
      <c r="F17" s="263"/>
      <c r="H17" t="s">
        <v>34</v>
      </c>
    </row>
    <row r="18" spans="1:10" ht="15.4" x14ac:dyDescent="0.45">
      <c r="A18" s="263"/>
      <c r="B18" s="266"/>
      <c r="C18" s="265"/>
      <c r="D18" s="6" t="s">
        <v>35</v>
      </c>
      <c r="E18" s="6"/>
      <c r="F18" s="263"/>
    </row>
    <row r="19" spans="1:10" ht="15.4" x14ac:dyDescent="0.45">
      <c r="A19" s="263">
        <v>3</v>
      </c>
      <c r="B19" s="263" t="s">
        <v>36</v>
      </c>
      <c r="C19" s="268" t="s">
        <v>37</v>
      </c>
      <c r="D19" s="6" t="s">
        <v>38</v>
      </c>
      <c r="E19" s="6"/>
      <c r="F19" s="263" t="s">
        <v>10</v>
      </c>
      <c r="H19" t="s">
        <v>13</v>
      </c>
      <c r="I19" t="s">
        <v>14</v>
      </c>
      <c r="J19" t="s">
        <v>39</v>
      </c>
    </row>
    <row r="20" spans="1:10" ht="15.4" x14ac:dyDescent="0.45">
      <c r="A20" s="263"/>
      <c r="B20" s="263"/>
      <c r="C20" s="268"/>
      <c r="D20" s="7" t="s">
        <v>40</v>
      </c>
      <c r="E20" s="7"/>
      <c r="F20" s="263"/>
      <c r="H20" s="39" t="s">
        <v>27</v>
      </c>
      <c r="I20">
        <v>1</v>
      </c>
      <c r="J20">
        <f>Table2[[#This Row],[Số lượng]]/SUM(Table2[Số lượng])</f>
        <v>2.7777777777777776E-2</v>
      </c>
    </row>
    <row r="21" spans="1:10" ht="15.4" x14ac:dyDescent="0.45">
      <c r="A21" s="263"/>
      <c r="B21" s="263"/>
      <c r="C21" s="268"/>
      <c r="D21" s="7" t="s">
        <v>41</v>
      </c>
      <c r="E21" s="7"/>
      <c r="F21" s="263"/>
      <c r="H21" s="39" t="s">
        <v>28</v>
      </c>
      <c r="I21">
        <v>2</v>
      </c>
      <c r="J21">
        <f>Table2[[#This Row],[Số lượng]]/SUM(Table2[Số lượng])</f>
        <v>5.5555555555555552E-2</v>
      </c>
    </row>
    <row r="22" spans="1:10" ht="15.4" x14ac:dyDescent="0.45">
      <c r="A22" s="263">
        <v>4</v>
      </c>
      <c r="B22" s="266" t="s">
        <v>42</v>
      </c>
      <c r="C22" s="267" t="s">
        <v>43</v>
      </c>
      <c r="D22" s="7" t="s">
        <v>44</v>
      </c>
      <c r="E22" s="7"/>
      <c r="F22" s="262" t="s">
        <v>10</v>
      </c>
      <c r="H22" s="39" t="s">
        <v>29</v>
      </c>
      <c r="I22">
        <v>3</v>
      </c>
      <c r="J22">
        <f>Table2[[#This Row],[Số lượng]]/SUM(Table2[Số lượng])</f>
        <v>8.3333333333333329E-2</v>
      </c>
    </row>
    <row r="23" spans="1:10" ht="15.4" x14ac:dyDescent="0.45">
      <c r="A23" s="263"/>
      <c r="B23" s="266"/>
      <c r="C23" s="267"/>
      <c r="D23" s="7" t="s">
        <v>45</v>
      </c>
      <c r="E23" s="7"/>
      <c r="F23" s="262"/>
      <c r="H23" s="39" t="s">
        <v>30</v>
      </c>
      <c r="I23">
        <v>4</v>
      </c>
      <c r="J23">
        <f>Table2[[#This Row],[Số lượng]]/SUM(Table2[Số lượng])</f>
        <v>0.1111111111111111</v>
      </c>
    </row>
    <row r="24" spans="1:10" ht="15.4" x14ac:dyDescent="0.45">
      <c r="A24" s="263"/>
      <c r="B24" s="266"/>
      <c r="C24" s="267"/>
      <c r="D24" s="7" t="s">
        <v>46</v>
      </c>
      <c r="E24" s="7"/>
      <c r="F24" s="262"/>
      <c r="H24" s="39" t="s">
        <v>31</v>
      </c>
      <c r="I24">
        <v>5</v>
      </c>
      <c r="J24">
        <f>Table2[[#This Row],[Số lượng]]/SUM(Table2[Số lượng])</f>
        <v>0.1388888888888889</v>
      </c>
    </row>
    <row r="25" spans="1:10" ht="15.4" x14ac:dyDescent="0.45">
      <c r="A25" s="263"/>
      <c r="B25" s="266"/>
      <c r="C25" s="267"/>
      <c r="D25" s="154" t="s">
        <v>47</v>
      </c>
      <c r="E25" s="154"/>
      <c r="F25" s="262"/>
      <c r="H25" s="39" t="s">
        <v>32</v>
      </c>
      <c r="I25">
        <v>6</v>
      </c>
      <c r="J25">
        <f>Table2[[#This Row],[Số lượng]]/SUM(Table2[Số lượng])</f>
        <v>0.16666666666666666</v>
      </c>
    </row>
    <row r="26" spans="1:10" ht="15.4" x14ac:dyDescent="0.45">
      <c r="A26" s="263"/>
      <c r="B26" s="266"/>
      <c r="C26" s="267"/>
      <c r="D26" s="154" t="s">
        <v>48</v>
      </c>
      <c r="E26" s="154"/>
      <c r="F26" s="262"/>
      <c r="H26" s="39" t="s">
        <v>33</v>
      </c>
      <c r="I26">
        <v>7</v>
      </c>
      <c r="J26">
        <f>Table2[[#This Row],[Số lượng]]/SUM(Table2[Số lượng])</f>
        <v>0.19444444444444445</v>
      </c>
    </row>
    <row r="27" spans="1:10" ht="15.4" x14ac:dyDescent="0.45">
      <c r="A27" s="263"/>
      <c r="B27" s="266"/>
      <c r="C27" s="267"/>
      <c r="D27" s="154" t="s">
        <v>49</v>
      </c>
      <c r="E27" s="154"/>
      <c r="F27" s="262"/>
      <c r="H27" s="39" t="s">
        <v>35</v>
      </c>
      <c r="I27">
        <v>8</v>
      </c>
      <c r="J27">
        <f>Table2[[#This Row],[Số lượng]]/SUM(Table2[Số lượng])</f>
        <v>0.22222222222222221</v>
      </c>
    </row>
    <row r="28" spans="1:10" ht="15.4" x14ac:dyDescent="0.35">
      <c r="A28" s="263"/>
      <c r="B28" s="266"/>
      <c r="C28" s="267"/>
      <c r="D28" s="154" t="s">
        <v>50</v>
      </c>
      <c r="E28" s="154"/>
      <c r="F28" s="262"/>
    </row>
    <row r="29" spans="1:10" ht="15.4" x14ac:dyDescent="0.35">
      <c r="A29" s="262">
        <v>5</v>
      </c>
      <c r="B29" s="263" t="s">
        <v>51</v>
      </c>
      <c r="C29" s="264" t="s">
        <v>52</v>
      </c>
      <c r="D29" s="235" t="s">
        <v>53</v>
      </c>
      <c r="E29" s="235"/>
      <c r="F29" s="263" t="s">
        <v>10</v>
      </c>
    </row>
    <row r="30" spans="1:10" ht="15.4" x14ac:dyDescent="0.35">
      <c r="A30" s="262"/>
      <c r="B30" s="263"/>
      <c r="C30" s="265"/>
      <c r="D30" s="235" t="s">
        <v>54</v>
      </c>
      <c r="E30" s="235"/>
      <c r="F30" s="263"/>
    </row>
    <row r="31" spans="1:10" ht="15.4" x14ac:dyDescent="0.35">
      <c r="A31" s="262"/>
      <c r="B31" s="263"/>
      <c r="C31" s="265"/>
      <c r="D31" s="235" t="s">
        <v>55</v>
      </c>
      <c r="E31" s="235"/>
      <c r="F31" s="263"/>
    </row>
    <row r="32" spans="1:10" ht="15.4" x14ac:dyDescent="0.35">
      <c r="A32" s="262"/>
      <c r="B32" s="263"/>
      <c r="C32" s="265"/>
      <c r="D32" s="235" t="s">
        <v>56</v>
      </c>
      <c r="E32" s="235"/>
      <c r="F32" s="263"/>
    </row>
    <row r="33" spans="1:10" ht="15.4" x14ac:dyDescent="0.35">
      <c r="A33" s="262"/>
      <c r="B33" s="263"/>
      <c r="C33" s="265"/>
      <c r="D33" s="235" t="s">
        <v>57</v>
      </c>
      <c r="E33" s="235"/>
      <c r="F33" s="263"/>
      <c r="H33" t="s">
        <v>58</v>
      </c>
    </row>
    <row r="34" spans="1:10" ht="15.4" x14ac:dyDescent="0.35">
      <c r="A34" s="259">
        <v>6</v>
      </c>
      <c r="B34" s="259" t="s">
        <v>59</v>
      </c>
      <c r="C34" s="256" t="s">
        <v>60</v>
      </c>
      <c r="D34" s="235" t="s">
        <v>61</v>
      </c>
      <c r="E34" s="235"/>
      <c r="F34" s="259"/>
    </row>
    <row r="35" spans="1:10" ht="15.4" x14ac:dyDescent="0.35">
      <c r="A35" s="260"/>
      <c r="B35" s="260"/>
      <c r="C35" s="257"/>
      <c r="D35" s="7" t="s">
        <v>62</v>
      </c>
      <c r="E35" s="7"/>
      <c r="F35" s="260"/>
      <c r="H35" t="s">
        <v>13</v>
      </c>
      <c r="I35" t="s">
        <v>14</v>
      </c>
      <c r="J35" t="s">
        <v>39</v>
      </c>
    </row>
    <row r="36" spans="1:10" ht="15.4" x14ac:dyDescent="0.35">
      <c r="A36" s="260"/>
      <c r="B36" s="260"/>
      <c r="C36" s="257"/>
      <c r="D36" s="7" t="s">
        <v>63</v>
      </c>
      <c r="E36" s="7"/>
      <c r="F36" s="260"/>
      <c r="H36" s="243" t="s">
        <v>44</v>
      </c>
      <c r="I36">
        <v>1</v>
      </c>
      <c r="J36">
        <f>Table3[[#This Row],[Số lượng]]/SUM(Table3[Số lượng])</f>
        <v>3.5714285714285712E-2</v>
      </c>
    </row>
    <row r="37" spans="1:10" ht="15.4" x14ac:dyDescent="0.35">
      <c r="A37" s="261"/>
      <c r="B37" s="261"/>
      <c r="C37" s="258"/>
      <c r="D37" s="7" t="s">
        <v>64</v>
      </c>
      <c r="E37" s="7"/>
      <c r="F37" s="261"/>
      <c r="H37" s="243" t="s">
        <v>45</v>
      </c>
      <c r="I37">
        <v>2</v>
      </c>
      <c r="J37">
        <f>Table3[[#This Row],[Số lượng]]/SUM(Table3[Số lượng])</f>
        <v>7.1428571428571425E-2</v>
      </c>
    </row>
    <row r="38" spans="1:10" ht="15.4" x14ac:dyDescent="0.35">
      <c r="H38" s="243" t="s">
        <v>46</v>
      </c>
      <c r="I38">
        <v>3</v>
      </c>
      <c r="J38">
        <f>Table3[[#This Row],[Số lượng]]/SUM(Table3[Số lượng])</f>
        <v>0.10714285714285714</v>
      </c>
    </row>
    <row r="39" spans="1:10" ht="15.4" x14ac:dyDescent="0.35">
      <c r="H39" s="244" t="s">
        <v>47</v>
      </c>
      <c r="I39">
        <v>4</v>
      </c>
      <c r="J39">
        <f>Table3[[#This Row],[Số lượng]]/SUM(Table3[Số lượng])</f>
        <v>0.14285714285714285</v>
      </c>
    </row>
    <row r="40" spans="1:10" ht="15.4" x14ac:dyDescent="0.35">
      <c r="H40" s="244" t="s">
        <v>48</v>
      </c>
      <c r="I40">
        <v>5</v>
      </c>
      <c r="J40">
        <f>Table3[[#This Row],[Số lượng]]/SUM(Table3[Số lượng])</f>
        <v>0.17857142857142858</v>
      </c>
    </row>
    <row r="41" spans="1:10" ht="15.4" x14ac:dyDescent="0.35">
      <c r="H41" s="244" t="s">
        <v>49</v>
      </c>
      <c r="I41">
        <v>6</v>
      </c>
      <c r="J41">
        <f>Table3[[#This Row],[Số lượng]]/SUM(Table3[Số lượng])</f>
        <v>0.21428571428571427</v>
      </c>
    </row>
    <row r="42" spans="1:10" ht="15.4" x14ac:dyDescent="0.35">
      <c r="H42" s="244" t="s">
        <v>65</v>
      </c>
      <c r="I42">
        <v>7</v>
      </c>
      <c r="J42">
        <f>Table3[[#This Row],[Số lượng]]/SUM(Table3[Số lượng])</f>
        <v>0.25</v>
      </c>
    </row>
    <row r="49" spans="8:10" x14ac:dyDescent="0.35">
      <c r="H49" t="s">
        <v>66</v>
      </c>
    </row>
    <row r="51" spans="8:10" x14ac:dyDescent="0.35">
      <c r="H51" t="s">
        <v>13</v>
      </c>
      <c r="I51" t="s">
        <v>14</v>
      </c>
      <c r="J51" t="s">
        <v>39</v>
      </c>
    </row>
    <row r="52" spans="8:10" ht="15.4" x14ac:dyDescent="0.35">
      <c r="H52" s="245" t="s">
        <v>61</v>
      </c>
      <c r="I52">
        <v>1</v>
      </c>
      <c r="J52">
        <f>Table4[[#This Row],[Số lượng]]/SUM(Table4[Số lượng])</f>
        <v>0.1</v>
      </c>
    </row>
    <row r="53" spans="8:10" ht="15.4" x14ac:dyDescent="0.35">
      <c r="H53" s="243" t="s">
        <v>62</v>
      </c>
      <c r="I53">
        <v>2</v>
      </c>
      <c r="J53">
        <f>Table4[[#This Row],[Số lượng]]/SUM(Table4[Số lượng])</f>
        <v>0.2</v>
      </c>
    </row>
    <row r="54" spans="8:10" ht="15.4" x14ac:dyDescent="0.35">
      <c r="H54" s="243" t="s">
        <v>63</v>
      </c>
      <c r="I54">
        <v>3</v>
      </c>
      <c r="J54">
        <f>Table4[[#This Row],[Số lượng]]/SUM(Table4[Số lượng])</f>
        <v>0.3</v>
      </c>
    </row>
    <row r="55" spans="8:10" ht="15.4" x14ac:dyDescent="0.35">
      <c r="H55" s="243" t="s">
        <v>64</v>
      </c>
      <c r="I55">
        <v>4</v>
      </c>
      <c r="J55">
        <f>Table4[[#This Row],[Số lượng]]/SUM(Table4[Số lượng])</f>
        <v>0.4</v>
      </c>
    </row>
  </sheetData>
  <mergeCells count="25">
    <mergeCell ref="A3:A10"/>
    <mergeCell ref="B3:B10"/>
    <mergeCell ref="C3:C10"/>
    <mergeCell ref="F3:F10"/>
    <mergeCell ref="F19:F21"/>
    <mergeCell ref="A11:A18"/>
    <mergeCell ref="B11:B18"/>
    <mergeCell ref="C11:C18"/>
    <mergeCell ref="F11:F18"/>
    <mergeCell ref="A1:F1"/>
    <mergeCell ref="C34:C37"/>
    <mergeCell ref="B34:B37"/>
    <mergeCell ref="A34:A37"/>
    <mergeCell ref="F34:F37"/>
    <mergeCell ref="A29:A33"/>
    <mergeCell ref="B29:B33"/>
    <mergeCell ref="C29:C33"/>
    <mergeCell ref="F29:F33"/>
    <mergeCell ref="A22:A28"/>
    <mergeCell ref="B22:B28"/>
    <mergeCell ref="C22:C28"/>
    <mergeCell ref="F22:F28"/>
    <mergeCell ref="A19:A21"/>
    <mergeCell ref="B19:B21"/>
    <mergeCell ref="C19:C21"/>
  </mergeCells>
  <phoneticPr fontId="30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C8EC-71DE-47FA-9A8A-9AF7145174E3}">
  <sheetPr>
    <tabColor theme="9" tint="-0.249977111117893"/>
    <pageSetUpPr fitToPage="1"/>
  </sheetPr>
  <dimension ref="A1:R80"/>
  <sheetViews>
    <sheetView topLeftCell="A3" zoomScale="76" zoomScaleNormal="76" workbookViewId="0">
      <selection activeCell="G25" sqref="G25"/>
    </sheetView>
  </sheetViews>
  <sheetFormatPr defaultColWidth="8.875" defaultRowHeight="20.25" customHeight="1" x14ac:dyDescent="0.45"/>
  <cols>
    <col min="1" max="1" width="6" style="39" customWidth="1"/>
    <col min="2" max="2" width="42.5625" style="43" customWidth="1"/>
    <col min="3" max="4" width="14" style="44" customWidth="1"/>
    <col min="5" max="5" width="25.125" style="44" customWidth="1"/>
    <col min="6" max="6" width="25.125" style="39" customWidth="1"/>
    <col min="7" max="7" width="41.3125" style="39" customWidth="1"/>
    <col min="8" max="8" width="40.5625" style="41" hidden="1" customWidth="1"/>
    <col min="9" max="9" width="16.6875" style="229" bestFit="1" customWidth="1"/>
    <col min="10" max="10" width="14.3125" style="2" bestFit="1" customWidth="1"/>
    <col min="11" max="11" width="20.4375" style="2" hidden="1" customWidth="1"/>
    <col min="12" max="12" width="9.125" style="2" hidden="1" customWidth="1"/>
    <col min="13" max="13" width="9.125" style="2" bestFit="1" customWidth="1"/>
    <col min="14" max="15" width="9.125" style="2" hidden="1" customWidth="1"/>
    <col min="16" max="16" width="9.125" style="2" bestFit="1" customWidth="1"/>
    <col min="17" max="16372" width="8.875" style="2"/>
    <col min="16373" max="16373" width="8.875" style="2" bestFit="1"/>
    <col min="16374" max="16378" width="8.875" style="2" bestFit="1" customWidth="1"/>
    <col min="16379" max="16384" width="8.875" style="2"/>
  </cols>
  <sheetData>
    <row r="1" spans="1:15" ht="20.25" customHeight="1" x14ac:dyDescent="0.45">
      <c r="A1" s="270" t="s">
        <v>67</v>
      </c>
      <c r="B1" s="271"/>
      <c r="C1" s="271"/>
      <c r="D1" s="271"/>
      <c r="E1" s="271"/>
      <c r="F1" s="271"/>
      <c r="G1" s="271"/>
      <c r="H1" s="271"/>
      <c r="I1" s="271"/>
      <c r="J1" s="272"/>
      <c r="K1" s="1"/>
      <c r="L1" s="1"/>
    </row>
    <row r="2" spans="1:15" ht="20.25" customHeight="1" x14ac:dyDescent="0.45">
      <c r="A2" s="270" t="s">
        <v>68</v>
      </c>
      <c r="B2" s="271"/>
      <c r="C2" s="271"/>
      <c r="D2" s="271"/>
      <c r="E2" s="271"/>
      <c r="F2" s="271"/>
      <c r="G2" s="271"/>
      <c r="H2" s="271"/>
      <c r="I2" s="271"/>
      <c r="J2" s="272"/>
      <c r="K2" s="1"/>
      <c r="L2" s="1"/>
    </row>
    <row r="3" spans="1:15" ht="32.25" customHeight="1" x14ac:dyDescent="0.45">
      <c r="A3" s="14" t="s">
        <v>1</v>
      </c>
      <c r="B3" s="13" t="s">
        <v>69</v>
      </c>
      <c r="C3" s="52" t="s">
        <v>70</v>
      </c>
      <c r="D3" s="52" t="s">
        <v>71</v>
      </c>
      <c r="E3" s="52" t="s">
        <v>72</v>
      </c>
      <c r="F3" s="14" t="s">
        <v>73</v>
      </c>
      <c r="G3" s="14" t="s">
        <v>74</v>
      </c>
      <c r="H3" s="13" t="s">
        <v>75</v>
      </c>
      <c r="I3" s="13" t="s">
        <v>6</v>
      </c>
      <c r="J3" s="14" t="s">
        <v>3</v>
      </c>
      <c r="K3" s="3"/>
      <c r="L3" s="1"/>
    </row>
    <row r="4" spans="1:15" ht="20.25" customHeight="1" x14ac:dyDescent="0.45">
      <c r="A4" s="269">
        <v>1</v>
      </c>
      <c r="B4" s="263" t="s">
        <v>76</v>
      </c>
      <c r="C4" s="265">
        <v>0.2</v>
      </c>
      <c r="D4" s="264" t="s">
        <v>77</v>
      </c>
      <c r="E4" s="264" t="s">
        <v>78</v>
      </c>
      <c r="F4" s="227" t="s">
        <v>9</v>
      </c>
      <c r="G4" s="230" t="s">
        <v>79</v>
      </c>
      <c r="H4" s="5" t="s">
        <v>80</v>
      </c>
      <c r="I4" s="263" t="s">
        <v>81</v>
      </c>
      <c r="J4" s="263" t="s">
        <v>82</v>
      </c>
      <c r="K4" s="3"/>
      <c r="L4" s="1"/>
      <c r="M4" s="246"/>
      <c r="N4" s="2" t="s">
        <v>9</v>
      </c>
      <c r="O4" s="2" t="s">
        <v>79</v>
      </c>
    </row>
    <row r="5" spans="1:15" ht="20.25" customHeight="1" x14ac:dyDescent="0.45">
      <c r="A5" s="269"/>
      <c r="B5" s="263"/>
      <c r="C5" s="265"/>
      <c r="D5" s="264"/>
      <c r="E5" s="264"/>
      <c r="F5" s="4" t="s">
        <v>12</v>
      </c>
      <c r="G5" s="222">
        <v>1</v>
      </c>
      <c r="H5" s="5"/>
      <c r="I5" s="263"/>
      <c r="J5" s="263"/>
      <c r="K5" s="3"/>
      <c r="L5" s="1"/>
      <c r="M5" s="2">
        <f>G5*$C$4</f>
        <v>0.2</v>
      </c>
      <c r="N5" s="2" t="s">
        <v>83</v>
      </c>
      <c r="O5" s="2" t="s">
        <v>84</v>
      </c>
    </row>
    <row r="6" spans="1:15" ht="20.25" customHeight="1" x14ac:dyDescent="0.45">
      <c r="A6" s="269"/>
      <c r="B6" s="263"/>
      <c r="C6" s="265"/>
      <c r="D6" s="264"/>
      <c r="E6" s="264"/>
      <c r="F6" s="4" t="s">
        <v>18</v>
      </c>
      <c r="G6" s="222">
        <v>2</v>
      </c>
      <c r="H6" s="5"/>
      <c r="I6" s="263"/>
      <c r="J6" s="263"/>
      <c r="K6" s="3"/>
      <c r="L6" s="1"/>
      <c r="M6" s="2">
        <f t="shared" ref="M6:M11" si="0">G6*$C$4</f>
        <v>0.4</v>
      </c>
    </row>
    <row r="7" spans="1:15" ht="20.25" customHeight="1" x14ac:dyDescent="0.45">
      <c r="A7" s="269"/>
      <c r="B7" s="263"/>
      <c r="C7" s="265"/>
      <c r="D7" s="264"/>
      <c r="E7" s="264"/>
      <c r="F7" s="4" t="s">
        <v>19</v>
      </c>
      <c r="G7" s="222">
        <v>3</v>
      </c>
      <c r="H7" s="5"/>
      <c r="I7" s="263"/>
      <c r="J7" s="263"/>
      <c r="K7" s="3"/>
      <c r="L7" s="1"/>
      <c r="M7" s="2">
        <f t="shared" si="0"/>
        <v>0.60000000000000009</v>
      </c>
    </row>
    <row r="8" spans="1:15" ht="20.25" customHeight="1" x14ac:dyDescent="0.45">
      <c r="A8" s="269"/>
      <c r="B8" s="263"/>
      <c r="C8" s="265"/>
      <c r="D8" s="264"/>
      <c r="E8" s="264"/>
      <c r="F8" s="4" t="s">
        <v>20</v>
      </c>
      <c r="G8" s="222">
        <v>4</v>
      </c>
      <c r="H8" s="5"/>
      <c r="I8" s="263"/>
      <c r="J8" s="263"/>
      <c r="K8" s="3"/>
      <c r="L8" s="1"/>
      <c r="M8" s="2">
        <f t="shared" si="0"/>
        <v>0.8</v>
      </c>
    </row>
    <row r="9" spans="1:15" ht="20.25" customHeight="1" x14ac:dyDescent="0.45">
      <c r="A9" s="269"/>
      <c r="B9" s="263"/>
      <c r="C9" s="265"/>
      <c r="D9" s="264"/>
      <c r="E9" s="264"/>
      <c r="F9" s="4" t="s">
        <v>22</v>
      </c>
      <c r="G9" s="222">
        <v>5</v>
      </c>
      <c r="H9" s="5"/>
      <c r="I9" s="263"/>
      <c r="J9" s="263"/>
      <c r="K9" s="3"/>
      <c r="L9" s="1"/>
      <c r="M9" s="2">
        <f t="shared" si="0"/>
        <v>1</v>
      </c>
    </row>
    <row r="10" spans="1:15" ht="37.5" customHeight="1" x14ac:dyDescent="0.45">
      <c r="A10" s="269"/>
      <c r="B10" s="263"/>
      <c r="C10" s="265"/>
      <c r="D10" s="264"/>
      <c r="E10" s="264"/>
      <c r="F10" s="4" t="s">
        <v>23</v>
      </c>
      <c r="G10" s="222">
        <v>6</v>
      </c>
      <c r="H10" s="5"/>
      <c r="I10" s="263"/>
      <c r="J10" s="263"/>
      <c r="K10" s="3"/>
      <c r="L10" s="1"/>
      <c r="M10" s="2">
        <f t="shared" si="0"/>
        <v>1.2000000000000002</v>
      </c>
    </row>
    <row r="11" spans="1:15" ht="37.5" customHeight="1" x14ac:dyDescent="0.45">
      <c r="A11" s="269"/>
      <c r="B11" s="263"/>
      <c r="C11" s="265"/>
      <c r="D11" s="264"/>
      <c r="E11" s="264"/>
      <c r="F11" s="4" t="s">
        <v>24</v>
      </c>
      <c r="G11" s="222">
        <v>7</v>
      </c>
      <c r="H11" s="5"/>
      <c r="I11" s="263"/>
      <c r="J11" s="263"/>
      <c r="K11" s="3"/>
      <c r="L11" s="1"/>
      <c r="M11" s="2">
        <f t="shared" si="0"/>
        <v>1.4000000000000001</v>
      </c>
    </row>
    <row r="12" spans="1:15" ht="20.25" customHeight="1" x14ac:dyDescent="0.45">
      <c r="A12" s="263">
        <v>2</v>
      </c>
      <c r="B12" s="263" t="s">
        <v>85</v>
      </c>
      <c r="C12" s="282">
        <v>0.15</v>
      </c>
      <c r="D12" s="264" t="s">
        <v>86</v>
      </c>
      <c r="E12" s="264" t="s">
        <v>87</v>
      </c>
      <c r="F12" s="6" t="s">
        <v>27</v>
      </c>
      <c r="G12" s="275">
        <v>10</v>
      </c>
      <c r="H12" s="5" t="s">
        <v>88</v>
      </c>
      <c r="I12" s="263" t="s">
        <v>81</v>
      </c>
      <c r="J12" s="273"/>
      <c r="K12" s="3"/>
      <c r="L12" s="1" t="s">
        <v>89</v>
      </c>
      <c r="M12" s="2">
        <f>G12*$C$12</f>
        <v>1.5</v>
      </c>
      <c r="N12" s="2" t="s">
        <v>90</v>
      </c>
    </row>
    <row r="13" spans="1:15" ht="20.25" customHeight="1" x14ac:dyDescent="0.45">
      <c r="A13" s="263"/>
      <c r="B13" s="263"/>
      <c r="C13" s="282"/>
      <c r="D13" s="264"/>
      <c r="E13" s="264"/>
      <c r="F13" s="6" t="s">
        <v>28</v>
      </c>
      <c r="G13" s="276"/>
      <c r="H13" s="5"/>
      <c r="I13" s="263"/>
      <c r="J13" s="273"/>
      <c r="K13" s="3"/>
      <c r="L13" s="1"/>
      <c r="M13" s="2">
        <f t="shared" ref="M13:M18" si="1">G13*$C$12</f>
        <v>0</v>
      </c>
    </row>
    <row r="14" spans="1:15" ht="20.25" customHeight="1" x14ac:dyDescent="0.45">
      <c r="A14" s="263"/>
      <c r="B14" s="263"/>
      <c r="C14" s="282"/>
      <c r="D14" s="264"/>
      <c r="E14" s="264"/>
      <c r="F14" s="6" t="s">
        <v>29</v>
      </c>
      <c r="G14" s="276"/>
      <c r="H14" s="5"/>
      <c r="I14" s="263"/>
      <c r="J14" s="273"/>
      <c r="K14" s="3"/>
      <c r="L14" s="1"/>
      <c r="M14" s="2">
        <f t="shared" si="1"/>
        <v>0</v>
      </c>
    </row>
    <row r="15" spans="1:15" ht="20.25" customHeight="1" x14ac:dyDescent="0.45">
      <c r="A15" s="263"/>
      <c r="B15" s="263"/>
      <c r="C15" s="282"/>
      <c r="D15" s="264"/>
      <c r="E15" s="264"/>
      <c r="F15" s="6" t="s">
        <v>30</v>
      </c>
      <c r="G15" s="277"/>
      <c r="H15" s="5"/>
      <c r="I15" s="263"/>
      <c r="J15" s="273"/>
      <c r="K15" s="3"/>
      <c r="L15" s="1"/>
      <c r="M15" s="2">
        <f t="shared" si="1"/>
        <v>0</v>
      </c>
    </row>
    <row r="16" spans="1:15" ht="20.25" customHeight="1" x14ac:dyDescent="0.45">
      <c r="A16" s="263"/>
      <c r="B16" s="263"/>
      <c r="C16" s="282"/>
      <c r="D16" s="265"/>
      <c r="E16" s="265"/>
      <c r="F16" s="6" t="s">
        <v>31</v>
      </c>
      <c r="G16" s="6">
        <v>8</v>
      </c>
      <c r="H16" s="5"/>
      <c r="I16" s="263"/>
      <c r="J16" s="273"/>
      <c r="K16" s="3"/>
      <c r="L16" s="1"/>
      <c r="M16" s="2">
        <f t="shared" si="1"/>
        <v>1.2</v>
      </c>
    </row>
    <row r="17" spans="1:14" ht="20.25" customHeight="1" x14ac:dyDescent="0.45">
      <c r="A17" s="263"/>
      <c r="B17" s="263"/>
      <c r="C17" s="282"/>
      <c r="D17" s="265"/>
      <c r="E17" s="265"/>
      <c r="F17" s="6" t="s">
        <v>32</v>
      </c>
      <c r="G17" s="6">
        <v>3</v>
      </c>
      <c r="H17" s="5"/>
      <c r="I17" s="263"/>
      <c r="J17" s="273"/>
      <c r="K17" s="3"/>
      <c r="L17" s="1"/>
      <c r="M17" s="2">
        <f t="shared" si="1"/>
        <v>0.44999999999999996</v>
      </c>
    </row>
    <row r="18" spans="1:14" ht="20.25" customHeight="1" x14ac:dyDescent="0.45">
      <c r="A18" s="263"/>
      <c r="B18" s="263"/>
      <c r="C18" s="282"/>
      <c r="D18" s="265"/>
      <c r="E18" s="265"/>
      <c r="F18" s="6" t="s">
        <v>33</v>
      </c>
      <c r="G18" s="6">
        <v>1</v>
      </c>
      <c r="H18" s="5"/>
      <c r="I18" s="263"/>
      <c r="J18" s="273"/>
      <c r="K18" s="3"/>
      <c r="L18" s="1"/>
      <c r="M18" s="2">
        <f t="shared" si="1"/>
        <v>0.15</v>
      </c>
    </row>
    <row r="19" spans="1:14" ht="20.25" customHeight="1" x14ac:dyDescent="0.45">
      <c r="A19" s="263"/>
      <c r="B19" s="263"/>
      <c r="C19" s="282"/>
      <c r="D19" s="265"/>
      <c r="E19" s="265"/>
      <c r="F19" s="6" t="s">
        <v>35</v>
      </c>
      <c r="G19" s="236" t="s">
        <v>79</v>
      </c>
      <c r="H19" s="5"/>
      <c r="I19" s="263"/>
      <c r="J19" s="273"/>
      <c r="K19" s="3"/>
      <c r="L19" s="1"/>
      <c r="M19" s="246"/>
      <c r="N19" s="2" t="s">
        <v>79</v>
      </c>
    </row>
    <row r="20" spans="1:14" ht="20.25" customHeight="1" x14ac:dyDescent="0.45">
      <c r="A20" s="263">
        <v>3</v>
      </c>
      <c r="B20" s="263" t="s">
        <v>91</v>
      </c>
      <c r="C20" s="265">
        <v>0.1</v>
      </c>
      <c r="D20" s="264" t="s">
        <v>92</v>
      </c>
      <c r="E20" s="268" t="s">
        <v>93</v>
      </c>
      <c r="F20" s="6" t="s">
        <v>38</v>
      </c>
      <c r="G20" s="6">
        <v>6</v>
      </c>
      <c r="H20" s="5"/>
      <c r="I20" s="263" t="s">
        <v>81</v>
      </c>
      <c r="J20" s="274"/>
      <c r="K20" s="3"/>
      <c r="L20" s="1"/>
      <c r="M20" s="2">
        <f>G20*$C$20</f>
        <v>0.60000000000000009</v>
      </c>
    </row>
    <row r="21" spans="1:14" ht="20.25" customHeight="1" x14ac:dyDescent="0.45">
      <c r="A21" s="263"/>
      <c r="B21" s="263"/>
      <c r="C21" s="265"/>
      <c r="D21" s="264"/>
      <c r="E21" s="268"/>
      <c r="F21" s="7" t="s">
        <v>40</v>
      </c>
      <c r="G21" s="231">
        <v>8</v>
      </c>
      <c r="H21" s="5"/>
      <c r="I21" s="263"/>
      <c r="J21" s="274"/>
      <c r="K21" s="3"/>
      <c r="L21" s="1"/>
      <c r="M21" s="2">
        <f t="shared" ref="M21:M22" si="2">G21*$C$20</f>
        <v>0.8</v>
      </c>
    </row>
    <row r="22" spans="1:14" ht="30.75" customHeight="1" x14ac:dyDescent="0.45">
      <c r="A22" s="263"/>
      <c r="B22" s="263"/>
      <c r="C22" s="265"/>
      <c r="D22" s="264"/>
      <c r="E22" s="268"/>
      <c r="F22" s="7" t="s">
        <v>41</v>
      </c>
      <c r="G22" s="231">
        <v>10</v>
      </c>
      <c r="H22" s="5"/>
      <c r="I22" s="263"/>
      <c r="J22" s="274"/>
      <c r="K22" s="3"/>
      <c r="L22" s="1"/>
      <c r="M22" s="2">
        <f t="shared" si="2"/>
        <v>1</v>
      </c>
    </row>
    <row r="23" spans="1:14" ht="30.75" customHeight="1" x14ac:dyDescent="0.45">
      <c r="A23" s="263">
        <v>4</v>
      </c>
      <c r="B23" s="262" t="s">
        <v>94</v>
      </c>
      <c r="C23" s="282">
        <v>0.3</v>
      </c>
      <c r="D23" s="267" t="s">
        <v>95</v>
      </c>
      <c r="E23" s="267" t="s">
        <v>96</v>
      </c>
      <c r="F23" s="7" t="s">
        <v>44</v>
      </c>
      <c r="G23" s="230" t="s">
        <v>79</v>
      </c>
      <c r="H23" s="5"/>
      <c r="I23" s="262" t="s">
        <v>81</v>
      </c>
      <c r="J23" s="274"/>
      <c r="K23" s="3"/>
      <c r="L23" s="1"/>
      <c r="M23" s="247"/>
    </row>
    <row r="24" spans="1:14" ht="30.75" customHeight="1" x14ac:dyDescent="0.45">
      <c r="A24" s="263"/>
      <c r="B24" s="262"/>
      <c r="C24" s="282"/>
      <c r="D24" s="267"/>
      <c r="E24" s="267"/>
      <c r="F24" s="7" t="s">
        <v>45</v>
      </c>
      <c r="G24" s="231">
        <v>1</v>
      </c>
      <c r="H24" s="5"/>
      <c r="I24" s="262"/>
      <c r="J24" s="274"/>
      <c r="K24" s="3"/>
      <c r="L24" s="1"/>
      <c r="M24" s="2">
        <f>G24*$C$23</f>
        <v>0.3</v>
      </c>
    </row>
    <row r="25" spans="1:14" ht="30.75" customHeight="1" x14ac:dyDescent="0.45">
      <c r="A25" s="263"/>
      <c r="B25" s="262"/>
      <c r="C25" s="282"/>
      <c r="D25" s="267"/>
      <c r="E25" s="267"/>
      <c r="F25" s="7" t="s">
        <v>46</v>
      </c>
      <c r="G25" s="231">
        <v>2</v>
      </c>
      <c r="H25" s="5"/>
      <c r="I25" s="262"/>
      <c r="J25" s="274"/>
      <c r="K25" s="3"/>
      <c r="L25" s="1"/>
      <c r="M25" s="2">
        <f t="shared" ref="M25:M29" si="3">G25*$C$23</f>
        <v>0.6</v>
      </c>
    </row>
    <row r="26" spans="1:14" ht="24.75" customHeight="1" x14ac:dyDescent="0.45">
      <c r="A26" s="263"/>
      <c r="B26" s="262"/>
      <c r="C26" s="282"/>
      <c r="D26" s="267"/>
      <c r="E26" s="267"/>
      <c r="F26" s="154" t="s">
        <v>47</v>
      </c>
      <c r="G26" s="231">
        <v>4</v>
      </c>
      <c r="H26" s="155" t="s">
        <v>97</v>
      </c>
      <c r="I26" s="262"/>
      <c r="J26" s="274"/>
      <c r="K26" s="3" t="s">
        <v>98</v>
      </c>
      <c r="L26" s="1"/>
      <c r="M26" s="2">
        <f t="shared" si="3"/>
        <v>1.2</v>
      </c>
      <c r="N26" s="2" t="s">
        <v>99</v>
      </c>
    </row>
    <row r="27" spans="1:14" ht="24.75" customHeight="1" x14ac:dyDescent="0.45">
      <c r="A27" s="263"/>
      <c r="B27" s="262"/>
      <c r="C27" s="282"/>
      <c r="D27" s="267"/>
      <c r="E27" s="267"/>
      <c r="F27" s="154" t="s">
        <v>48</v>
      </c>
      <c r="G27" s="231">
        <v>6</v>
      </c>
      <c r="H27" s="155"/>
      <c r="I27" s="262"/>
      <c r="J27" s="274"/>
      <c r="K27" s="3"/>
      <c r="L27" s="1"/>
      <c r="M27" s="2">
        <f t="shared" si="3"/>
        <v>1.7999999999999998</v>
      </c>
    </row>
    <row r="28" spans="1:14" ht="24.75" customHeight="1" x14ac:dyDescent="0.45">
      <c r="A28" s="263"/>
      <c r="B28" s="262"/>
      <c r="C28" s="282"/>
      <c r="D28" s="267"/>
      <c r="E28" s="267"/>
      <c r="F28" s="154" t="s">
        <v>49</v>
      </c>
      <c r="G28" s="231">
        <v>8</v>
      </c>
      <c r="H28" s="155"/>
      <c r="I28" s="262"/>
      <c r="J28" s="274"/>
      <c r="K28" s="3"/>
      <c r="L28" s="1"/>
      <c r="M28" s="2">
        <f t="shared" si="3"/>
        <v>2.4</v>
      </c>
    </row>
    <row r="29" spans="1:14" ht="24.75" customHeight="1" x14ac:dyDescent="0.45">
      <c r="A29" s="263"/>
      <c r="B29" s="262"/>
      <c r="C29" s="282"/>
      <c r="D29" s="267"/>
      <c r="E29" s="267"/>
      <c r="F29" s="154" t="s">
        <v>50</v>
      </c>
      <c r="G29" s="231">
        <v>10</v>
      </c>
      <c r="H29" s="155"/>
      <c r="I29" s="262"/>
      <c r="J29" s="274"/>
      <c r="K29" s="3"/>
      <c r="L29" s="1"/>
      <c r="M29" s="2">
        <f t="shared" si="3"/>
        <v>3</v>
      </c>
    </row>
    <row r="30" spans="1:14" ht="68.25" customHeight="1" x14ac:dyDescent="0.45">
      <c r="A30" s="262">
        <v>5</v>
      </c>
      <c r="B30" s="263" t="s">
        <v>100</v>
      </c>
      <c r="C30" s="265">
        <v>0.05</v>
      </c>
      <c r="D30" s="264" t="s">
        <v>101</v>
      </c>
      <c r="E30" s="264" t="s">
        <v>102</v>
      </c>
      <c r="F30" s="235" t="s">
        <v>103</v>
      </c>
      <c r="G30" s="222">
        <v>2</v>
      </c>
      <c r="H30" s="5" t="s">
        <v>104</v>
      </c>
      <c r="I30" s="263" t="s">
        <v>81</v>
      </c>
      <c r="J30" s="273"/>
      <c r="K30" s="3"/>
      <c r="L30" s="1"/>
      <c r="M30" s="2">
        <f>G30*$C$30</f>
        <v>0.1</v>
      </c>
      <c r="N30" s="2" t="s">
        <v>90</v>
      </c>
    </row>
    <row r="31" spans="1:14" ht="20.25" customHeight="1" x14ac:dyDescent="0.45">
      <c r="A31" s="262"/>
      <c r="B31" s="263"/>
      <c r="C31" s="265"/>
      <c r="D31" s="265"/>
      <c r="E31" s="265"/>
      <c r="F31" s="235" t="s">
        <v>105</v>
      </c>
      <c r="G31" s="222">
        <v>4</v>
      </c>
      <c r="H31" s="5"/>
      <c r="I31" s="263"/>
      <c r="J31" s="273"/>
      <c r="K31" s="3"/>
      <c r="L31" s="1"/>
      <c r="M31" s="2">
        <f t="shared" ref="M31:M35" si="4">G31*$C$30</f>
        <v>0.2</v>
      </c>
    </row>
    <row r="32" spans="1:14" ht="20.25" customHeight="1" x14ac:dyDescent="0.45">
      <c r="A32" s="262"/>
      <c r="B32" s="263"/>
      <c r="C32" s="265"/>
      <c r="D32" s="265"/>
      <c r="E32" s="265"/>
      <c r="F32" s="235" t="s">
        <v>106</v>
      </c>
      <c r="G32" s="222">
        <v>6</v>
      </c>
      <c r="H32" s="5"/>
      <c r="I32" s="263"/>
      <c r="J32" s="273"/>
      <c r="K32" s="3"/>
      <c r="L32" s="1"/>
      <c r="M32" s="2">
        <f t="shared" si="4"/>
        <v>0.30000000000000004</v>
      </c>
    </row>
    <row r="33" spans="1:18" ht="20.25" customHeight="1" x14ac:dyDescent="0.45">
      <c r="A33" s="262"/>
      <c r="B33" s="263"/>
      <c r="C33" s="265"/>
      <c r="D33" s="265"/>
      <c r="E33" s="265"/>
      <c r="F33" s="235" t="s">
        <v>107</v>
      </c>
      <c r="G33" s="222">
        <v>8</v>
      </c>
      <c r="H33" s="5"/>
      <c r="I33" s="263"/>
      <c r="J33" s="273"/>
      <c r="K33" s="3"/>
      <c r="L33" s="1"/>
      <c r="M33" s="2">
        <f t="shared" si="4"/>
        <v>0.4</v>
      </c>
    </row>
    <row r="34" spans="1:18" ht="20.25" customHeight="1" x14ac:dyDescent="0.45">
      <c r="A34" s="262"/>
      <c r="B34" s="263"/>
      <c r="C34" s="265"/>
      <c r="D34" s="265"/>
      <c r="E34" s="265"/>
      <c r="F34" s="235" t="s">
        <v>108</v>
      </c>
      <c r="G34" s="222">
        <v>10</v>
      </c>
      <c r="H34" s="5"/>
      <c r="I34" s="263"/>
      <c r="J34" s="273"/>
      <c r="K34" s="3"/>
      <c r="L34" s="1"/>
      <c r="M34" s="2">
        <f t="shared" si="4"/>
        <v>0.5</v>
      </c>
    </row>
    <row r="35" spans="1:18" ht="20.25" customHeight="1" x14ac:dyDescent="0.45">
      <c r="A35" s="259">
        <v>6</v>
      </c>
      <c r="B35" s="259" t="s">
        <v>109</v>
      </c>
      <c r="C35" s="295">
        <v>0.2</v>
      </c>
      <c r="D35" s="295" t="s">
        <v>110</v>
      </c>
      <c r="E35" s="256" t="s">
        <v>111</v>
      </c>
      <c r="F35" s="235" t="s">
        <v>61</v>
      </c>
      <c r="G35" s="222">
        <v>0</v>
      </c>
      <c r="H35" s="5"/>
      <c r="I35" s="259"/>
      <c r="J35" s="284"/>
      <c r="K35" s="3"/>
      <c r="L35" s="1"/>
      <c r="M35" s="2">
        <f t="shared" si="4"/>
        <v>0</v>
      </c>
    </row>
    <row r="36" spans="1:18" ht="20.25" customHeight="1" x14ac:dyDescent="0.45">
      <c r="A36" s="260"/>
      <c r="B36" s="260"/>
      <c r="C36" s="278"/>
      <c r="D36" s="278"/>
      <c r="E36" s="257"/>
      <c r="F36" s="7" t="s">
        <v>62</v>
      </c>
      <c r="G36" s="222">
        <v>2</v>
      </c>
      <c r="H36" s="5"/>
      <c r="I36" s="260"/>
      <c r="J36" s="285"/>
      <c r="K36" s="3"/>
      <c r="L36" s="1"/>
      <c r="M36" s="2">
        <f>G36*$C$35</f>
        <v>0.4</v>
      </c>
    </row>
    <row r="37" spans="1:18" ht="20.25" customHeight="1" x14ac:dyDescent="0.45">
      <c r="A37" s="260"/>
      <c r="B37" s="260"/>
      <c r="C37" s="278"/>
      <c r="D37" s="278"/>
      <c r="E37" s="257"/>
      <c r="F37" s="7" t="s">
        <v>63</v>
      </c>
      <c r="G37" s="222">
        <v>4</v>
      </c>
      <c r="H37" s="5"/>
      <c r="I37" s="260"/>
      <c r="J37" s="285"/>
      <c r="K37" s="3"/>
      <c r="L37" s="1"/>
      <c r="M37" s="2">
        <f>G37*$C$35</f>
        <v>0.8</v>
      </c>
    </row>
    <row r="38" spans="1:18" ht="20.25" customHeight="1" x14ac:dyDescent="0.45">
      <c r="A38" s="261"/>
      <c r="B38" s="261"/>
      <c r="C38" s="279"/>
      <c r="D38" s="279"/>
      <c r="E38" s="258"/>
      <c r="F38" s="7" t="s">
        <v>112</v>
      </c>
      <c r="G38" s="222">
        <v>6</v>
      </c>
      <c r="H38" s="5"/>
      <c r="I38" s="261"/>
      <c r="J38" s="286"/>
      <c r="K38" s="3"/>
      <c r="L38" s="1"/>
      <c r="M38" s="2">
        <f>G38*$C$35</f>
        <v>1.2000000000000002</v>
      </c>
      <c r="Q38" s="2" t="s">
        <v>113</v>
      </c>
      <c r="R38" s="2" t="s">
        <v>114</v>
      </c>
    </row>
    <row r="39" spans="1:18" ht="20.25" customHeight="1" x14ac:dyDescent="0.45">
      <c r="A39" s="5"/>
      <c r="B39" s="13" t="s">
        <v>115</v>
      </c>
      <c r="C39" s="283" t="s">
        <v>116</v>
      </c>
      <c r="D39" s="283"/>
      <c r="E39" s="283"/>
      <c r="F39" s="283"/>
      <c r="G39" s="283"/>
      <c r="H39" s="283"/>
      <c r="I39" s="283"/>
      <c r="J39" s="283"/>
      <c r="K39" s="3"/>
      <c r="L39" s="1"/>
      <c r="M39" s="2">
        <f>SUM(M4:M38)</f>
        <v>24.499999999999996</v>
      </c>
      <c r="Q39" s="2">
        <f>M35+M30+M24+M20+M18+M5</f>
        <v>1.3499999999999999</v>
      </c>
      <c r="R39" s="2">
        <f>M38+M34+M29+M22+M12+M11</f>
        <v>8.6</v>
      </c>
    </row>
    <row r="40" spans="1:18" ht="20.25" hidden="1" customHeight="1" x14ac:dyDescent="0.45">
      <c r="A40" s="8"/>
      <c r="B40" s="9"/>
      <c r="C40" s="51"/>
      <c r="D40" s="51"/>
      <c r="E40" s="51"/>
      <c r="F40" s="9"/>
      <c r="G40" s="9" t="s">
        <v>117</v>
      </c>
      <c r="H40" s="9"/>
      <c r="I40" s="9"/>
      <c r="J40" s="10"/>
      <c r="K40" s="11"/>
      <c r="L40" s="11"/>
    </row>
    <row r="41" spans="1:18" ht="20.25" hidden="1" customHeight="1" x14ac:dyDescent="0.45">
      <c r="A41" s="12"/>
      <c r="B41" s="13" t="s">
        <v>69</v>
      </c>
      <c r="C41" s="52" t="s">
        <v>70</v>
      </c>
      <c r="D41" s="52"/>
      <c r="E41" s="52"/>
      <c r="F41" s="13" t="s">
        <v>73</v>
      </c>
      <c r="G41" s="13" t="s">
        <v>118</v>
      </c>
      <c r="H41" s="5"/>
      <c r="I41" s="222"/>
      <c r="J41" s="14" t="s">
        <v>119</v>
      </c>
      <c r="K41" s="11"/>
      <c r="L41" s="11"/>
    </row>
    <row r="42" spans="1:18" ht="61.5" hidden="1" x14ac:dyDescent="0.45">
      <c r="A42" s="12"/>
      <c r="B42" s="263" t="s">
        <v>120</v>
      </c>
      <c r="C42" s="294">
        <v>0.25</v>
      </c>
      <c r="D42" s="148"/>
      <c r="E42" s="148"/>
      <c r="F42" s="7" t="s">
        <v>62</v>
      </c>
      <c r="G42" s="232" t="s">
        <v>121</v>
      </c>
      <c r="H42" s="1"/>
      <c r="I42" s="7"/>
      <c r="J42" s="1"/>
      <c r="K42" s="11"/>
      <c r="L42" s="11"/>
    </row>
    <row r="43" spans="1:18" ht="61.5" hidden="1" x14ac:dyDescent="0.45">
      <c r="A43" s="15" t="s">
        <v>122</v>
      </c>
      <c r="B43" s="263"/>
      <c r="C43" s="294"/>
      <c r="D43" s="148"/>
      <c r="E43" s="148"/>
      <c r="F43" s="7" t="s">
        <v>63</v>
      </c>
      <c r="G43" s="232" t="s">
        <v>123</v>
      </c>
      <c r="H43" s="1"/>
      <c r="I43" s="7"/>
      <c r="J43" s="1"/>
      <c r="K43" s="11"/>
      <c r="L43" s="11"/>
    </row>
    <row r="44" spans="1:18" ht="90" hidden="1" x14ac:dyDescent="0.45">
      <c r="A44" s="16" t="s">
        <v>117</v>
      </c>
      <c r="B44" s="263"/>
      <c r="C44" s="294"/>
      <c r="D44" s="148"/>
      <c r="E44" s="148"/>
      <c r="F44" s="7" t="s">
        <v>112</v>
      </c>
      <c r="G44" s="232" t="s">
        <v>124</v>
      </c>
      <c r="H44" s="1"/>
      <c r="I44" s="7"/>
      <c r="J44" s="1"/>
      <c r="K44" s="17"/>
      <c r="L44" s="17"/>
    </row>
    <row r="45" spans="1:18" ht="20.25" hidden="1" customHeight="1" x14ac:dyDescent="0.45">
      <c r="A45" s="13" t="s">
        <v>1</v>
      </c>
      <c r="B45" s="259" t="s">
        <v>125</v>
      </c>
      <c r="C45" s="295">
        <v>0.2</v>
      </c>
      <c r="D45" s="149"/>
      <c r="E45" s="149"/>
      <c r="F45" s="7" t="s">
        <v>126</v>
      </c>
      <c r="G45" s="232" t="s">
        <v>127</v>
      </c>
      <c r="H45" s="1"/>
      <c r="I45" s="7"/>
      <c r="J45" s="1"/>
      <c r="K45" s="11"/>
      <c r="L45" s="11"/>
    </row>
    <row r="46" spans="1:18" ht="20.25" hidden="1" customHeight="1" x14ac:dyDescent="0.45">
      <c r="A46" s="7">
        <v>1</v>
      </c>
      <c r="B46" s="260"/>
      <c r="C46" s="278"/>
      <c r="D46" s="147"/>
      <c r="E46" s="147"/>
      <c r="F46" s="7" t="s">
        <v>128</v>
      </c>
      <c r="G46" s="232" t="s">
        <v>129</v>
      </c>
      <c r="H46" s="1"/>
      <c r="I46" s="7"/>
      <c r="J46" s="1"/>
      <c r="K46" s="11"/>
      <c r="L46" s="11"/>
    </row>
    <row r="47" spans="1:18" ht="20.25" hidden="1" customHeight="1" x14ac:dyDescent="0.45">
      <c r="A47" s="7">
        <v>2</v>
      </c>
      <c r="B47" s="260"/>
      <c r="C47" s="278"/>
      <c r="D47" s="147"/>
      <c r="E47" s="147"/>
      <c r="F47" s="7" t="s">
        <v>130</v>
      </c>
      <c r="G47" s="232" t="s">
        <v>131</v>
      </c>
      <c r="H47" s="1"/>
      <c r="I47" s="7"/>
      <c r="J47" s="1"/>
      <c r="K47" s="11"/>
      <c r="L47" s="11"/>
    </row>
    <row r="48" spans="1:18" ht="20.25" hidden="1" customHeight="1" x14ac:dyDescent="0.45">
      <c r="A48" s="7">
        <v>3</v>
      </c>
      <c r="B48" s="261"/>
      <c r="C48" s="279"/>
      <c r="D48" s="150"/>
      <c r="E48" s="150"/>
      <c r="F48" s="7" t="s">
        <v>132</v>
      </c>
      <c r="G48" s="232" t="s">
        <v>133</v>
      </c>
      <c r="H48" s="1"/>
      <c r="I48" s="7"/>
      <c r="J48" s="1"/>
      <c r="K48" s="11"/>
      <c r="L48" s="11"/>
    </row>
    <row r="49" spans="1:12" ht="20.25" hidden="1" customHeight="1" x14ac:dyDescent="0.45">
      <c r="A49" s="7">
        <v>4</v>
      </c>
      <c r="B49" s="296" t="s">
        <v>134</v>
      </c>
      <c r="C49" s="299">
        <v>0.35</v>
      </c>
      <c r="D49" s="151"/>
      <c r="E49" s="151"/>
      <c r="F49" s="18" t="s">
        <v>135</v>
      </c>
      <c r="G49" s="232" t="s">
        <v>136</v>
      </c>
      <c r="H49" s="1"/>
      <c r="I49" s="7"/>
      <c r="J49" s="1"/>
      <c r="K49" s="11"/>
      <c r="L49" s="11"/>
    </row>
    <row r="50" spans="1:12" s="22" customFormat="1" ht="20.25" hidden="1" customHeight="1" x14ac:dyDescent="0.45">
      <c r="A50" s="7">
        <v>5</v>
      </c>
      <c r="B50" s="297"/>
      <c r="C50" s="300"/>
      <c r="D50" s="152"/>
      <c r="E50" s="152"/>
      <c r="F50" s="19" t="s">
        <v>137</v>
      </c>
      <c r="G50" s="233" t="s">
        <v>138</v>
      </c>
      <c r="H50" s="20"/>
      <c r="I50" s="26"/>
      <c r="J50" s="20"/>
      <c r="K50" s="21"/>
      <c r="L50" s="21"/>
    </row>
    <row r="51" spans="1:12" s="22" customFormat="1" ht="20.25" hidden="1" customHeight="1" x14ac:dyDescent="0.45">
      <c r="A51" s="7">
        <v>6</v>
      </c>
      <c r="B51" s="297"/>
      <c r="C51" s="300"/>
      <c r="D51" s="152"/>
      <c r="E51" s="152"/>
      <c r="F51" s="19" t="s">
        <v>139</v>
      </c>
      <c r="G51" s="233" t="s">
        <v>140</v>
      </c>
      <c r="H51" s="20"/>
      <c r="I51" s="26"/>
      <c r="J51" s="20"/>
      <c r="K51" s="21"/>
      <c r="L51" s="21"/>
    </row>
    <row r="52" spans="1:12" s="22" customFormat="1" ht="20.25" hidden="1" customHeight="1" x14ac:dyDescent="0.45">
      <c r="A52" s="7">
        <v>7</v>
      </c>
      <c r="B52" s="298"/>
      <c r="C52" s="301"/>
      <c r="D52" s="152"/>
      <c r="E52" s="152"/>
      <c r="F52" s="19" t="s">
        <v>141</v>
      </c>
      <c r="G52" s="233" t="s">
        <v>142</v>
      </c>
      <c r="H52" s="20"/>
      <c r="I52" s="26"/>
      <c r="J52" s="23"/>
      <c r="K52" s="21"/>
      <c r="L52" s="21"/>
    </row>
    <row r="53" spans="1:12" ht="20.25" hidden="1" customHeight="1" x14ac:dyDescent="0.45">
      <c r="A53" s="7">
        <v>8</v>
      </c>
      <c r="B53" s="302" t="s">
        <v>143</v>
      </c>
      <c r="C53" s="303">
        <v>0.1</v>
      </c>
      <c r="D53" s="147"/>
      <c r="E53" s="147"/>
      <c r="F53" s="7" t="s">
        <v>144</v>
      </c>
      <c r="G53" s="222" t="s">
        <v>145</v>
      </c>
      <c r="H53" s="24"/>
      <c r="I53" s="214"/>
      <c r="J53" s="25"/>
      <c r="L53" s="11"/>
    </row>
    <row r="54" spans="1:12" ht="20.25" hidden="1" customHeight="1" x14ac:dyDescent="0.45">
      <c r="A54" s="26">
        <v>9</v>
      </c>
      <c r="B54" s="302"/>
      <c r="C54" s="303"/>
      <c r="D54" s="147"/>
      <c r="E54" s="147"/>
      <c r="F54" s="7" t="s">
        <v>146</v>
      </c>
      <c r="G54" s="222" t="s">
        <v>147</v>
      </c>
      <c r="H54" s="24"/>
      <c r="I54" s="214"/>
      <c r="J54" s="25"/>
      <c r="L54" s="11"/>
    </row>
    <row r="55" spans="1:12" ht="20.25" hidden="1" customHeight="1" x14ac:dyDescent="0.45">
      <c r="A55" s="26">
        <v>10</v>
      </c>
      <c r="B55" s="302"/>
      <c r="C55" s="303"/>
      <c r="D55" s="147"/>
      <c r="E55" s="147"/>
      <c r="F55" s="7" t="s">
        <v>148</v>
      </c>
      <c r="G55" s="222" t="s">
        <v>149</v>
      </c>
      <c r="H55" s="24"/>
      <c r="I55" s="214"/>
      <c r="J55" s="25"/>
      <c r="L55" s="11"/>
    </row>
    <row r="56" spans="1:12" ht="20.25" hidden="1" customHeight="1" x14ac:dyDescent="0.45">
      <c r="A56" s="26">
        <v>11</v>
      </c>
      <c r="B56" s="302"/>
      <c r="C56" s="303"/>
      <c r="D56" s="147"/>
      <c r="E56" s="147"/>
      <c r="F56" s="27" t="s">
        <v>150</v>
      </c>
      <c r="G56" s="223" t="s">
        <v>151</v>
      </c>
      <c r="H56" s="24"/>
      <c r="I56" s="214"/>
      <c r="J56" s="25"/>
      <c r="L56" s="11"/>
    </row>
    <row r="57" spans="1:12" ht="20.25" hidden="1" customHeight="1" x14ac:dyDescent="0.45">
      <c r="A57" s="284">
        <v>12</v>
      </c>
      <c r="B57" s="304" t="s">
        <v>152</v>
      </c>
      <c r="C57" s="278">
        <v>0.1</v>
      </c>
      <c r="D57" s="147"/>
      <c r="E57" s="147"/>
      <c r="F57" s="28" t="s">
        <v>153</v>
      </c>
      <c r="G57" s="234">
        <v>0.8</v>
      </c>
      <c r="H57" s="24"/>
      <c r="I57" s="214"/>
      <c r="J57" s="25"/>
      <c r="K57" s="11"/>
      <c r="L57" s="11"/>
    </row>
    <row r="58" spans="1:12" ht="20.25" hidden="1" customHeight="1" x14ac:dyDescent="0.45">
      <c r="A58" s="285"/>
      <c r="B58" s="304"/>
      <c r="C58" s="278"/>
      <c r="D58" s="147"/>
      <c r="E58" s="147"/>
      <c r="F58" s="28" t="s">
        <v>154</v>
      </c>
      <c r="G58" s="234">
        <v>0.8</v>
      </c>
      <c r="H58" s="24"/>
      <c r="I58" s="214"/>
      <c r="J58" s="25"/>
      <c r="K58" s="11"/>
      <c r="L58" s="11"/>
    </row>
    <row r="59" spans="1:12" ht="20.25" hidden="1" customHeight="1" x14ac:dyDescent="0.45">
      <c r="A59" s="285"/>
      <c r="B59" s="304"/>
      <c r="C59" s="279"/>
      <c r="D59" s="150"/>
      <c r="E59" s="150"/>
      <c r="F59" s="28" t="s">
        <v>155</v>
      </c>
      <c r="G59" s="234">
        <v>0.4</v>
      </c>
      <c r="H59" s="24"/>
      <c r="I59" s="214"/>
      <c r="J59" s="25"/>
      <c r="K59" s="11"/>
      <c r="L59" s="11"/>
    </row>
    <row r="60" spans="1:12" ht="20.25" hidden="1" customHeight="1" x14ac:dyDescent="0.45">
      <c r="A60" s="286"/>
      <c r="B60" s="29" t="s">
        <v>156</v>
      </c>
      <c r="C60" s="280" t="s">
        <v>157</v>
      </c>
      <c r="D60" s="281"/>
      <c r="E60" s="281"/>
      <c r="F60" s="281"/>
      <c r="G60" s="281"/>
      <c r="H60" s="30"/>
      <c r="I60" s="228"/>
      <c r="J60" s="31"/>
    </row>
    <row r="61" spans="1:12" ht="20.25" hidden="1" customHeight="1" x14ac:dyDescent="0.45">
      <c r="A61" s="24">
        <v>13</v>
      </c>
      <c r="B61" s="32" t="s">
        <v>158</v>
      </c>
      <c r="C61" s="33" t="s">
        <v>159</v>
      </c>
      <c r="D61" s="33"/>
      <c r="E61" s="33"/>
      <c r="F61" s="34"/>
      <c r="G61" s="221"/>
      <c r="H61" s="34"/>
      <c r="I61" s="221"/>
      <c r="J61" s="35"/>
    </row>
    <row r="62" spans="1:12" ht="20.25" customHeight="1" x14ac:dyDescent="0.45">
      <c r="A62" s="36"/>
      <c r="B62" s="305" t="s">
        <v>160</v>
      </c>
      <c r="C62" s="306"/>
      <c r="D62" s="306"/>
      <c r="E62" s="306"/>
      <c r="F62" s="306"/>
      <c r="G62" s="306"/>
      <c r="H62" s="306"/>
      <c r="I62" s="306"/>
      <c r="J62" s="307"/>
    </row>
    <row r="63" spans="1:12" ht="20.25" customHeight="1" x14ac:dyDescent="0.45">
      <c r="A63" s="37" t="s">
        <v>1</v>
      </c>
      <c r="B63" s="37" t="s">
        <v>161</v>
      </c>
      <c r="C63" s="308" t="s">
        <v>162</v>
      </c>
      <c r="D63" s="308"/>
      <c r="E63" s="308"/>
      <c r="F63" s="308"/>
      <c r="G63" s="308"/>
      <c r="H63" s="308"/>
      <c r="I63" s="308"/>
      <c r="J63" s="309"/>
    </row>
    <row r="64" spans="1:12" ht="41.25" customHeight="1" x14ac:dyDescent="0.45">
      <c r="A64" s="274">
        <v>1</v>
      </c>
      <c r="B64" s="53" t="s">
        <v>163</v>
      </c>
      <c r="C64" s="287" t="s">
        <v>164</v>
      </c>
      <c r="D64" s="288"/>
      <c r="E64" s="288"/>
      <c r="F64" s="288"/>
      <c r="G64" s="288"/>
      <c r="H64" s="288"/>
      <c r="I64" s="288"/>
      <c r="J64" s="288"/>
    </row>
    <row r="65" spans="1:13" ht="15.4" x14ac:dyDescent="0.45">
      <c r="A65" s="274"/>
      <c r="B65" s="38" t="s">
        <v>165</v>
      </c>
      <c r="C65" s="289" t="s">
        <v>166</v>
      </c>
      <c r="D65" s="289"/>
      <c r="E65" s="289"/>
      <c r="F65" s="289"/>
      <c r="G65" s="289"/>
      <c r="H65" s="289"/>
      <c r="I65" s="289"/>
      <c r="J65" s="289"/>
    </row>
    <row r="66" spans="1:13" ht="30.75" x14ac:dyDescent="0.45">
      <c r="A66" s="274"/>
      <c r="B66" s="38" t="s">
        <v>167</v>
      </c>
      <c r="C66" s="289" t="s">
        <v>168</v>
      </c>
      <c r="D66" s="289"/>
      <c r="E66" s="289"/>
      <c r="F66" s="289"/>
      <c r="G66" s="289"/>
      <c r="H66" s="289"/>
      <c r="I66" s="289"/>
      <c r="J66" s="289"/>
      <c r="M66" s="2" t="s">
        <v>169</v>
      </c>
    </row>
    <row r="67" spans="1:13" ht="15.4" x14ac:dyDescent="0.45">
      <c r="A67" s="7">
        <v>2</v>
      </c>
      <c r="B67" s="38" t="s">
        <v>170</v>
      </c>
      <c r="C67" s="289" t="s">
        <v>171</v>
      </c>
      <c r="D67" s="289"/>
      <c r="E67" s="289"/>
      <c r="F67" s="289"/>
      <c r="G67" s="289"/>
      <c r="H67" s="289"/>
      <c r="I67" s="289"/>
      <c r="J67" s="289"/>
    </row>
    <row r="68" spans="1:13" ht="30.75" x14ac:dyDescent="0.45">
      <c r="A68" s="7">
        <v>3</v>
      </c>
      <c r="B68" s="38" t="s">
        <v>172</v>
      </c>
      <c r="C68" s="289" t="s">
        <v>173</v>
      </c>
      <c r="D68" s="289"/>
      <c r="E68" s="289"/>
      <c r="F68" s="289"/>
      <c r="G68" s="289"/>
      <c r="H68" s="289"/>
      <c r="I68" s="289"/>
      <c r="J68" s="289"/>
    </row>
    <row r="69" spans="1:13" ht="20.25" customHeight="1" x14ac:dyDescent="0.45">
      <c r="A69" s="7">
        <v>4</v>
      </c>
      <c r="B69" s="38" t="s">
        <v>174</v>
      </c>
      <c r="C69" s="289" t="s">
        <v>175</v>
      </c>
      <c r="D69" s="289"/>
      <c r="E69" s="289"/>
      <c r="F69" s="289"/>
      <c r="G69" s="289"/>
      <c r="H69" s="289"/>
      <c r="I69" s="289"/>
      <c r="J69" s="289"/>
    </row>
    <row r="70" spans="1:13" ht="30.75" x14ac:dyDescent="0.45">
      <c r="A70" s="7">
        <v>5</v>
      </c>
      <c r="B70" s="38" t="s">
        <v>176</v>
      </c>
      <c r="C70" s="289" t="s">
        <v>177</v>
      </c>
      <c r="D70" s="289"/>
      <c r="E70" s="289"/>
      <c r="F70" s="289"/>
      <c r="G70" s="289"/>
      <c r="H70" s="289"/>
      <c r="I70" s="289"/>
      <c r="J70" s="289"/>
    </row>
    <row r="71" spans="1:13" ht="20.25" customHeight="1" x14ac:dyDescent="0.45">
      <c r="A71" s="214">
        <v>6</v>
      </c>
      <c r="B71" s="215" t="s">
        <v>59</v>
      </c>
      <c r="C71" s="290" t="s">
        <v>178</v>
      </c>
      <c r="D71" s="290"/>
      <c r="E71" s="290"/>
      <c r="F71" s="290"/>
      <c r="G71" s="290"/>
      <c r="H71" s="290"/>
      <c r="I71" s="290"/>
      <c r="J71" s="290"/>
    </row>
    <row r="72" spans="1:13" ht="20.25" customHeight="1" x14ac:dyDescent="0.45">
      <c r="A72" s="216">
        <v>7</v>
      </c>
      <c r="B72" s="217" t="s">
        <v>122</v>
      </c>
      <c r="C72" s="291" t="s">
        <v>179</v>
      </c>
      <c r="D72" s="292"/>
      <c r="E72" s="292"/>
      <c r="F72" s="292"/>
      <c r="G72" s="292"/>
      <c r="H72" s="292"/>
      <c r="I72" s="292"/>
      <c r="J72" s="293"/>
    </row>
    <row r="73" spans="1:13" ht="20.25" customHeight="1" x14ac:dyDescent="0.45">
      <c r="B73" s="40"/>
      <c r="C73" s="54"/>
      <c r="D73" s="54"/>
      <c r="E73" s="54"/>
    </row>
    <row r="74" spans="1:13" ht="20.25" customHeight="1" x14ac:dyDescent="0.45">
      <c r="B74" s="40"/>
      <c r="C74" s="54"/>
      <c r="D74" s="54"/>
      <c r="E74" s="54"/>
    </row>
    <row r="76" spans="1:13" ht="20.25" customHeight="1" x14ac:dyDescent="0.45">
      <c r="F76" s="42"/>
    </row>
    <row r="77" spans="1:13" ht="20.25" customHeight="1" x14ac:dyDescent="0.45">
      <c r="F77" s="42"/>
    </row>
    <row r="78" spans="1:13" ht="20.25" customHeight="1" x14ac:dyDescent="0.45">
      <c r="F78" s="42"/>
    </row>
    <row r="79" spans="1:13" ht="20.25" customHeight="1" x14ac:dyDescent="0.45">
      <c r="F79" s="42"/>
    </row>
    <row r="80" spans="1:13" ht="20.25" customHeight="1" x14ac:dyDescent="0.45">
      <c r="F80" s="42"/>
    </row>
  </sheetData>
  <mergeCells count="70">
    <mergeCell ref="B35:B38"/>
    <mergeCell ref="C35:C38"/>
    <mergeCell ref="D35:D38"/>
    <mergeCell ref="E35:E38"/>
    <mergeCell ref="A35:A38"/>
    <mergeCell ref="C72:J72"/>
    <mergeCell ref="A30:A34"/>
    <mergeCell ref="B30:B34"/>
    <mergeCell ref="B42:B44"/>
    <mergeCell ref="C42:C44"/>
    <mergeCell ref="B45:B48"/>
    <mergeCell ref="C45:C48"/>
    <mergeCell ref="B49:B52"/>
    <mergeCell ref="C49:C52"/>
    <mergeCell ref="B53:B56"/>
    <mergeCell ref="C53:C56"/>
    <mergeCell ref="A57:A60"/>
    <mergeCell ref="B57:B59"/>
    <mergeCell ref="A64:A66"/>
    <mergeCell ref="B62:J62"/>
    <mergeCell ref="C63:J63"/>
    <mergeCell ref="C64:J64"/>
    <mergeCell ref="C65:J65"/>
    <mergeCell ref="C66:J66"/>
    <mergeCell ref="C71:J71"/>
    <mergeCell ref="C67:J67"/>
    <mergeCell ref="C68:J68"/>
    <mergeCell ref="C69:J69"/>
    <mergeCell ref="C70:J70"/>
    <mergeCell ref="E30:E34"/>
    <mergeCell ref="J12:J19"/>
    <mergeCell ref="D12:D19"/>
    <mergeCell ref="D30:D34"/>
    <mergeCell ref="E12:E19"/>
    <mergeCell ref="I30:I34"/>
    <mergeCell ref="E23:E29"/>
    <mergeCell ref="E20:E22"/>
    <mergeCell ref="I20:I22"/>
    <mergeCell ref="C57:C59"/>
    <mergeCell ref="C60:G60"/>
    <mergeCell ref="A2:J2"/>
    <mergeCell ref="A23:A29"/>
    <mergeCell ref="B23:B29"/>
    <mergeCell ref="C23:C29"/>
    <mergeCell ref="D23:D29"/>
    <mergeCell ref="A20:A22"/>
    <mergeCell ref="B20:B22"/>
    <mergeCell ref="C20:C22"/>
    <mergeCell ref="D20:D22"/>
    <mergeCell ref="C12:C19"/>
    <mergeCell ref="C39:J39"/>
    <mergeCell ref="C30:C34"/>
    <mergeCell ref="I35:I38"/>
    <mergeCell ref="J35:J38"/>
    <mergeCell ref="A1:J1"/>
    <mergeCell ref="I12:I19"/>
    <mergeCell ref="J30:J34"/>
    <mergeCell ref="A12:A19"/>
    <mergeCell ref="B12:B19"/>
    <mergeCell ref="I4:I11"/>
    <mergeCell ref="J4:J11"/>
    <mergeCell ref="J20:J22"/>
    <mergeCell ref="A4:A11"/>
    <mergeCell ref="B4:B11"/>
    <mergeCell ref="C4:C11"/>
    <mergeCell ref="D4:D11"/>
    <mergeCell ref="E4:E11"/>
    <mergeCell ref="I23:I29"/>
    <mergeCell ref="J23:J29"/>
    <mergeCell ref="G12:G15"/>
  </mergeCells>
  <pageMargins left="0.7" right="0.7" top="0.75" bottom="0.75" header="0.3" footer="0.3"/>
  <pageSetup paperSize="9" scale="49" fitToHeight="0"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0BEB-1877-4A1C-B2AA-EA55B09C065A}">
  <dimension ref="A1:G27"/>
  <sheetViews>
    <sheetView topLeftCell="A22" zoomScale="115" zoomScaleNormal="115" workbookViewId="0">
      <selection activeCell="D11" sqref="D11"/>
    </sheetView>
  </sheetViews>
  <sheetFormatPr defaultRowHeight="13.5" x14ac:dyDescent="0.35"/>
  <cols>
    <col min="2" max="2" width="21.875" customWidth="1"/>
    <col min="3" max="3" width="34.5625" customWidth="1"/>
    <col min="4" max="4" width="51.875" customWidth="1"/>
    <col min="5" max="5" width="14.5625" customWidth="1"/>
  </cols>
  <sheetData>
    <row r="1" spans="1:7" x14ac:dyDescent="0.35">
      <c r="A1" s="310" t="s">
        <v>180</v>
      </c>
      <c r="B1" s="311"/>
      <c r="C1" s="311"/>
      <c r="D1" s="311"/>
      <c r="E1" s="311"/>
    </row>
    <row r="2" spans="1:7" ht="25.5" x14ac:dyDescent="0.35">
      <c r="A2" s="68" t="s">
        <v>1</v>
      </c>
      <c r="B2" s="68" t="s">
        <v>181</v>
      </c>
      <c r="C2" s="68" t="s">
        <v>3</v>
      </c>
      <c r="D2" s="68" t="s">
        <v>72</v>
      </c>
      <c r="E2" s="69" t="s">
        <v>182</v>
      </c>
    </row>
    <row r="3" spans="1:7" x14ac:dyDescent="0.35">
      <c r="A3" s="70">
        <v>1</v>
      </c>
      <c r="B3" s="71" t="s">
        <v>183</v>
      </c>
      <c r="C3" s="71" t="s">
        <v>184</v>
      </c>
      <c r="D3" s="72"/>
      <c r="E3" s="312" t="s">
        <v>185</v>
      </c>
    </row>
    <row r="4" spans="1:7" x14ac:dyDescent="0.35">
      <c r="A4" s="70">
        <v>2</v>
      </c>
      <c r="B4" s="71" t="s">
        <v>186</v>
      </c>
      <c r="C4" s="71" t="s">
        <v>187</v>
      </c>
      <c r="D4" s="72" t="s">
        <v>188</v>
      </c>
      <c r="E4" s="312"/>
    </row>
    <row r="5" spans="1:7" x14ac:dyDescent="0.35">
      <c r="A5" s="70">
        <v>3</v>
      </c>
      <c r="B5" s="71" t="s">
        <v>189</v>
      </c>
      <c r="C5" s="73" t="s">
        <v>190</v>
      </c>
      <c r="D5" s="72" t="s">
        <v>191</v>
      </c>
      <c r="E5" s="312"/>
    </row>
    <row r="6" spans="1:7" x14ac:dyDescent="0.35">
      <c r="A6" s="70">
        <v>4</v>
      </c>
      <c r="B6" s="71" t="s">
        <v>192</v>
      </c>
      <c r="C6" s="73" t="s">
        <v>193</v>
      </c>
      <c r="D6" s="72" t="s">
        <v>194</v>
      </c>
      <c r="E6" s="312"/>
    </row>
    <row r="7" spans="1:7" x14ac:dyDescent="0.35">
      <c r="A7" s="70">
        <v>5</v>
      </c>
      <c r="B7" s="71" t="s">
        <v>92</v>
      </c>
      <c r="C7" s="73" t="s">
        <v>195</v>
      </c>
      <c r="D7" s="72" t="s">
        <v>196</v>
      </c>
      <c r="E7" s="312"/>
    </row>
    <row r="8" spans="1:7" ht="26.25" x14ac:dyDescent="0.35">
      <c r="A8" s="70">
        <v>6</v>
      </c>
      <c r="B8" s="71" t="s">
        <v>197</v>
      </c>
      <c r="C8" s="73" t="s">
        <v>198</v>
      </c>
      <c r="D8" s="72" t="s">
        <v>199</v>
      </c>
      <c r="E8" s="312"/>
      <c r="G8" t="s">
        <v>200</v>
      </c>
    </row>
    <row r="9" spans="1:7" ht="26.25" x14ac:dyDescent="0.35">
      <c r="A9" s="70">
        <v>7</v>
      </c>
      <c r="B9" s="71" t="s">
        <v>101</v>
      </c>
      <c r="C9" s="73" t="s">
        <v>51</v>
      </c>
      <c r="D9" s="72" t="s">
        <v>201</v>
      </c>
      <c r="E9" s="312"/>
    </row>
    <row r="10" spans="1:7" x14ac:dyDescent="0.35">
      <c r="A10" s="70">
        <v>8</v>
      </c>
      <c r="B10" s="71" t="s">
        <v>202</v>
      </c>
      <c r="C10" s="73" t="s">
        <v>203</v>
      </c>
      <c r="D10" s="72" t="s">
        <v>204</v>
      </c>
      <c r="E10" s="312"/>
    </row>
    <row r="11" spans="1:7" ht="26.25" x14ac:dyDescent="0.35">
      <c r="A11" s="70">
        <v>9</v>
      </c>
      <c r="B11" s="71" t="s">
        <v>205</v>
      </c>
      <c r="C11" s="73" t="s">
        <v>206</v>
      </c>
      <c r="D11" s="72" t="s">
        <v>207</v>
      </c>
      <c r="E11" s="312"/>
    </row>
    <row r="12" spans="1:7" ht="26.25" x14ac:dyDescent="0.35">
      <c r="A12" s="70">
        <v>10</v>
      </c>
      <c r="B12" s="71" t="s">
        <v>208</v>
      </c>
      <c r="C12" s="73" t="s">
        <v>209</v>
      </c>
      <c r="D12" s="72" t="s">
        <v>210</v>
      </c>
      <c r="E12" s="312"/>
    </row>
    <row r="13" spans="1:7" ht="26.25" x14ac:dyDescent="0.35">
      <c r="A13" s="70">
        <v>11</v>
      </c>
      <c r="B13" s="71" t="s">
        <v>211</v>
      </c>
      <c r="C13" s="71" t="s">
        <v>212</v>
      </c>
      <c r="D13" s="72" t="s">
        <v>213</v>
      </c>
      <c r="E13" s="312"/>
    </row>
    <row r="14" spans="1:7" x14ac:dyDescent="0.35">
      <c r="A14" s="70">
        <v>12</v>
      </c>
      <c r="B14" s="71" t="s">
        <v>214</v>
      </c>
      <c r="C14" s="73" t="s">
        <v>215</v>
      </c>
      <c r="D14" s="72" t="s">
        <v>216</v>
      </c>
      <c r="E14" s="312"/>
    </row>
    <row r="15" spans="1:7" x14ac:dyDescent="0.35">
      <c r="A15" s="70">
        <v>14</v>
      </c>
      <c r="B15" s="71" t="s">
        <v>217</v>
      </c>
      <c r="C15" s="71" t="s">
        <v>218</v>
      </c>
      <c r="D15" s="72"/>
      <c r="E15" s="312"/>
    </row>
    <row r="16" spans="1:7" ht="78.75" x14ac:dyDescent="0.35">
      <c r="A16" s="70">
        <v>15</v>
      </c>
      <c r="B16" s="71" t="s">
        <v>219</v>
      </c>
      <c r="C16" s="71" t="s">
        <v>220</v>
      </c>
      <c r="D16" s="72" t="s">
        <v>221</v>
      </c>
      <c r="E16" s="312"/>
    </row>
    <row r="18" spans="1:5" x14ac:dyDescent="0.35">
      <c r="A18" s="313" t="s">
        <v>222</v>
      </c>
      <c r="B18" s="313"/>
      <c r="C18" s="313"/>
      <c r="D18" s="313"/>
      <c r="E18" s="313"/>
    </row>
    <row r="19" spans="1:5" ht="27" x14ac:dyDescent="0.35">
      <c r="A19" s="55" t="s">
        <v>1</v>
      </c>
      <c r="B19" s="56" t="s">
        <v>71</v>
      </c>
      <c r="C19" s="57" t="s">
        <v>223</v>
      </c>
      <c r="D19" s="57" t="s">
        <v>72</v>
      </c>
      <c r="E19" s="56" t="s">
        <v>182</v>
      </c>
    </row>
    <row r="20" spans="1:5" ht="13.9" x14ac:dyDescent="0.4">
      <c r="A20" s="58">
        <v>1</v>
      </c>
      <c r="B20" s="59" t="s">
        <v>183</v>
      </c>
      <c r="C20" s="60" t="s">
        <v>224</v>
      </c>
      <c r="D20" s="47"/>
      <c r="E20" s="314" t="s">
        <v>225</v>
      </c>
    </row>
    <row r="21" spans="1:5" ht="13.9" x14ac:dyDescent="0.4">
      <c r="A21" s="61">
        <v>4</v>
      </c>
      <c r="B21" s="59" t="s">
        <v>226</v>
      </c>
      <c r="C21" s="62" t="s">
        <v>227</v>
      </c>
      <c r="D21" s="47"/>
      <c r="E21" s="315"/>
    </row>
    <row r="22" spans="1:5" ht="13.9" x14ac:dyDescent="0.4">
      <c r="A22" s="61"/>
      <c r="B22" s="59" t="s">
        <v>228</v>
      </c>
      <c r="C22" s="62" t="s">
        <v>229</v>
      </c>
      <c r="D22" s="47"/>
      <c r="E22" s="315"/>
    </row>
    <row r="23" spans="1:5" ht="13.9" x14ac:dyDescent="0.4">
      <c r="A23" s="63">
        <v>5</v>
      </c>
      <c r="B23" s="59" t="s">
        <v>230</v>
      </c>
      <c r="C23" s="46" t="s">
        <v>231</v>
      </c>
      <c r="D23" s="48" t="s">
        <v>232</v>
      </c>
      <c r="E23" s="315"/>
    </row>
    <row r="24" spans="1:5" ht="13.9" x14ac:dyDescent="0.4">
      <c r="A24" s="61">
        <v>6</v>
      </c>
      <c r="B24" s="64" t="s">
        <v>233</v>
      </c>
      <c r="C24" s="65" t="s">
        <v>234</v>
      </c>
      <c r="D24" s="66" t="s">
        <v>235</v>
      </c>
      <c r="E24" s="316"/>
    </row>
    <row r="25" spans="1:5" ht="13.9" x14ac:dyDescent="0.4">
      <c r="A25" s="63">
        <v>7</v>
      </c>
      <c r="B25" s="64" t="s">
        <v>236</v>
      </c>
      <c r="C25" s="67" t="s">
        <v>237</v>
      </c>
      <c r="D25" s="48" t="s">
        <v>238</v>
      </c>
      <c r="E25" s="317"/>
    </row>
    <row r="26" spans="1:5" ht="13.9" thickBot="1" x14ac:dyDescent="0.4"/>
    <row r="27" spans="1:5" ht="81.400000000000006" thickBot="1" x14ac:dyDescent="0.4">
      <c r="C27" s="123" t="s">
        <v>239</v>
      </c>
      <c r="D27" s="124" t="s">
        <v>240</v>
      </c>
    </row>
  </sheetData>
  <mergeCells count="4">
    <mergeCell ref="A1:E1"/>
    <mergeCell ref="E3:E16"/>
    <mergeCell ref="A18:E18"/>
    <mergeCell ref="E20:E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DBCD-DD2C-4CBB-B293-AA464BEC9CDA}">
  <sheetPr>
    <tabColor rgb="FFC00000"/>
  </sheetPr>
  <dimension ref="A1:W41"/>
  <sheetViews>
    <sheetView zoomScale="85" zoomScaleNormal="85" workbookViewId="0">
      <selection sqref="A1:D1"/>
    </sheetView>
  </sheetViews>
  <sheetFormatPr defaultColWidth="58.6875" defaultRowHeight="15" customHeight="1" x14ac:dyDescent="0.4"/>
  <cols>
    <col min="1" max="1" width="5.125" style="90" bestFit="1" customWidth="1"/>
    <col min="2" max="2" width="39.5625" style="90" customWidth="1"/>
    <col min="3" max="3" width="30.125" style="89" bestFit="1" customWidth="1"/>
    <col min="4" max="4" width="34.875" style="90" customWidth="1"/>
    <col min="5" max="5" width="22.5625" style="90" customWidth="1"/>
    <col min="6" max="6" width="9.4375" style="90" bestFit="1" customWidth="1"/>
    <col min="7" max="7" width="33.4375" style="90" bestFit="1" customWidth="1"/>
    <col min="8" max="8" width="13.125" style="90" bestFit="1" customWidth="1"/>
    <col min="9" max="9" width="42.6875" style="90" customWidth="1"/>
    <col min="10" max="10" width="48.125" style="90" customWidth="1"/>
    <col min="11" max="11" width="41.5625" style="90" bestFit="1" customWidth="1"/>
    <col min="12" max="12" width="41.5625" style="90" customWidth="1"/>
    <col min="13" max="13" width="29.5625" style="90" customWidth="1"/>
    <col min="14" max="14" width="22.5625" style="90" customWidth="1"/>
    <col min="15" max="15" width="4.125" style="90" bestFit="1" customWidth="1"/>
    <col min="16" max="16" width="24.125" style="90" customWidth="1"/>
    <col min="17" max="17" width="50.875" style="90" bestFit="1" customWidth="1"/>
    <col min="18" max="18" width="58.3125" style="90" bestFit="1" customWidth="1"/>
    <col min="19" max="16384" width="58.6875" style="90"/>
  </cols>
  <sheetData>
    <row r="1" spans="1:23" ht="33.6" customHeight="1" x14ac:dyDescent="0.4">
      <c r="A1" s="323" t="s">
        <v>241</v>
      </c>
      <c r="B1" s="323"/>
      <c r="C1" s="323"/>
      <c r="D1" s="323"/>
      <c r="F1" s="132" t="s">
        <v>1</v>
      </c>
      <c r="G1" s="324" t="s">
        <v>242</v>
      </c>
      <c r="H1" s="324"/>
      <c r="I1" s="324"/>
      <c r="J1" s="324"/>
      <c r="K1" s="324"/>
      <c r="L1" s="324"/>
      <c r="M1" s="324"/>
      <c r="O1" s="318" t="s">
        <v>243</v>
      </c>
      <c r="P1" s="318"/>
      <c r="Q1" s="318"/>
      <c r="R1" s="318"/>
    </row>
    <row r="2" spans="1:23" ht="15" customHeight="1" x14ac:dyDescent="0.4">
      <c r="A2" s="180"/>
      <c r="B2" s="181" t="s">
        <v>181</v>
      </c>
      <c r="C2" s="182" t="s">
        <v>3</v>
      </c>
      <c r="D2" s="183"/>
      <c r="F2" s="132"/>
      <c r="G2" s="133" t="s">
        <v>244</v>
      </c>
      <c r="H2" s="133"/>
      <c r="I2" s="133" t="s">
        <v>3</v>
      </c>
      <c r="J2" s="133"/>
      <c r="K2" s="133" t="s">
        <v>72</v>
      </c>
      <c r="L2" s="133" t="s">
        <v>245</v>
      </c>
      <c r="M2" s="133" t="s">
        <v>246</v>
      </c>
      <c r="O2" s="319"/>
      <c r="P2" s="319"/>
      <c r="Q2" s="319"/>
      <c r="R2" s="319"/>
    </row>
    <row r="3" spans="1:23" ht="15" customHeight="1" x14ac:dyDescent="0.4">
      <c r="A3" s="190">
        <v>1</v>
      </c>
      <c r="B3" s="179" t="s">
        <v>247</v>
      </c>
      <c r="C3" s="179" t="s">
        <v>248</v>
      </c>
      <c r="D3" s="178"/>
      <c r="F3" s="132"/>
      <c r="G3" s="133"/>
      <c r="H3" s="133"/>
      <c r="I3" s="133"/>
      <c r="J3" s="133"/>
      <c r="K3" s="133"/>
      <c r="L3" s="133"/>
      <c r="M3" s="133"/>
      <c r="O3" s="171"/>
      <c r="P3" s="171"/>
      <c r="Q3" s="171"/>
      <c r="R3" s="171"/>
    </row>
    <row r="4" spans="1:23" ht="13.9" x14ac:dyDescent="0.4">
      <c r="A4" s="75">
        <v>2</v>
      </c>
      <c r="B4" s="99" t="s">
        <v>249</v>
      </c>
      <c r="C4" s="100" t="s">
        <v>250</v>
      </c>
      <c r="D4" s="101" t="s">
        <v>251</v>
      </c>
      <c r="F4" s="128">
        <v>1</v>
      </c>
      <c r="G4" s="127" t="s">
        <v>252</v>
      </c>
      <c r="H4" s="127" t="s">
        <v>253</v>
      </c>
      <c r="I4" s="131" t="s">
        <v>254</v>
      </c>
      <c r="J4" s="131"/>
      <c r="K4" s="131"/>
      <c r="L4" s="131"/>
      <c r="M4" s="129" t="s">
        <v>255</v>
      </c>
      <c r="O4" s="68" t="s">
        <v>1</v>
      </c>
      <c r="P4" s="68" t="s">
        <v>181</v>
      </c>
      <c r="Q4" s="68" t="s">
        <v>3</v>
      </c>
      <c r="R4" s="68" t="s">
        <v>72</v>
      </c>
    </row>
    <row r="5" spans="1:23" ht="13.9" x14ac:dyDescent="0.4">
      <c r="A5" s="190">
        <v>3</v>
      </c>
      <c r="B5" s="62" t="s">
        <v>256</v>
      </c>
      <c r="C5" s="81" t="s">
        <v>257</v>
      </c>
      <c r="D5" s="79" t="s">
        <v>258</v>
      </c>
      <c r="F5" s="128">
        <v>2</v>
      </c>
      <c r="G5" s="129" t="s">
        <v>259</v>
      </c>
      <c r="H5" s="130">
        <v>45413</v>
      </c>
      <c r="I5" s="131" t="s">
        <v>260</v>
      </c>
      <c r="J5" s="131"/>
      <c r="K5" s="131" t="s">
        <v>261</v>
      </c>
      <c r="L5" s="131"/>
      <c r="M5" s="129" t="s">
        <v>262</v>
      </c>
      <c r="O5" s="71">
        <v>1</v>
      </c>
      <c r="P5" s="71" t="s">
        <v>183</v>
      </c>
      <c r="Q5" s="71" t="s">
        <v>184</v>
      </c>
      <c r="R5" s="71" t="s">
        <v>263</v>
      </c>
    </row>
    <row r="6" spans="1:23" ht="27.75" x14ac:dyDescent="0.4">
      <c r="A6" s="75">
        <v>4</v>
      </c>
      <c r="B6" s="62" t="s">
        <v>264</v>
      </c>
      <c r="C6" s="78" t="s">
        <v>254</v>
      </c>
      <c r="D6" s="79" t="s">
        <v>265</v>
      </c>
      <c r="F6" s="128">
        <v>3</v>
      </c>
      <c r="G6" s="129" t="s">
        <v>110</v>
      </c>
      <c r="H6" s="129">
        <v>25</v>
      </c>
      <c r="I6" s="131" t="s">
        <v>266</v>
      </c>
      <c r="J6" s="131"/>
      <c r="K6" s="153" t="s">
        <v>267</v>
      </c>
      <c r="L6" s="153"/>
      <c r="M6" s="129" t="s">
        <v>268</v>
      </c>
      <c r="O6" s="71">
        <v>2</v>
      </c>
      <c r="P6" s="71" t="s">
        <v>269</v>
      </c>
      <c r="Q6" s="71" t="s">
        <v>270</v>
      </c>
      <c r="R6" s="71"/>
      <c r="U6" s="109" t="s">
        <v>208</v>
      </c>
      <c r="V6" s="110" t="s">
        <v>209</v>
      </c>
      <c r="W6" s="111" t="s">
        <v>210</v>
      </c>
    </row>
    <row r="7" spans="1:23" ht="27.75" x14ac:dyDescent="0.4">
      <c r="A7" s="190">
        <v>5</v>
      </c>
      <c r="B7" s="184" t="s">
        <v>271</v>
      </c>
      <c r="C7" s="185" t="s">
        <v>272</v>
      </c>
      <c r="D7" s="186" t="s">
        <v>273</v>
      </c>
      <c r="F7" s="128">
        <v>4</v>
      </c>
      <c r="G7" s="46" t="s">
        <v>274</v>
      </c>
      <c r="H7" s="46">
        <v>200</v>
      </c>
      <c r="I7" s="96" t="s">
        <v>275</v>
      </c>
      <c r="J7" s="96" t="s">
        <v>276</v>
      </c>
      <c r="K7" s="252" t="s">
        <v>277</v>
      </c>
      <c r="L7" s="224" t="s">
        <v>277</v>
      </c>
      <c r="M7" s="46" t="s">
        <v>278</v>
      </c>
      <c r="O7" s="71">
        <v>3</v>
      </c>
      <c r="P7" s="71" t="s">
        <v>189</v>
      </c>
      <c r="Q7" s="71" t="s">
        <v>279</v>
      </c>
      <c r="R7" s="163" t="s">
        <v>280</v>
      </c>
      <c r="U7" s="109" t="s">
        <v>211</v>
      </c>
      <c r="V7" s="109" t="s">
        <v>212</v>
      </c>
      <c r="W7" s="111" t="s">
        <v>213</v>
      </c>
    </row>
    <row r="8" spans="1:23" ht="55.5" x14ac:dyDescent="0.4">
      <c r="A8" s="75">
        <v>6</v>
      </c>
      <c r="B8" s="67" t="s">
        <v>281</v>
      </c>
      <c r="C8" s="67" t="s">
        <v>282</v>
      </c>
      <c r="D8" s="67"/>
      <c r="F8" s="128">
        <v>5</v>
      </c>
      <c r="G8" s="46" t="s">
        <v>283</v>
      </c>
      <c r="H8" s="46">
        <v>197</v>
      </c>
      <c r="I8" s="96" t="s">
        <v>284</v>
      </c>
      <c r="J8" s="96" t="s">
        <v>285</v>
      </c>
      <c r="K8" s="252" t="s">
        <v>286</v>
      </c>
      <c r="L8" s="224" t="s">
        <v>286</v>
      </c>
      <c r="M8" s="46" t="s">
        <v>278</v>
      </c>
      <c r="O8" s="67">
        <v>4</v>
      </c>
      <c r="P8" s="67" t="s">
        <v>192</v>
      </c>
      <c r="Q8" s="67" t="s">
        <v>287</v>
      </c>
      <c r="R8" s="164" t="s">
        <v>288</v>
      </c>
    </row>
    <row r="9" spans="1:23" ht="69.400000000000006" x14ac:dyDescent="0.4">
      <c r="A9" s="190">
        <v>7</v>
      </c>
      <c r="B9" s="67" t="s">
        <v>289</v>
      </c>
      <c r="C9" s="67" t="s">
        <v>290</v>
      </c>
      <c r="D9" s="67"/>
      <c r="F9" s="128">
        <v>6</v>
      </c>
      <c r="G9" s="46" t="s">
        <v>291</v>
      </c>
      <c r="H9" s="113">
        <f>200*20000</f>
        <v>4000000</v>
      </c>
      <c r="I9" s="96" t="s">
        <v>292</v>
      </c>
      <c r="J9" s="96" t="s">
        <v>293</v>
      </c>
      <c r="K9" s="252" t="s">
        <v>294</v>
      </c>
      <c r="L9" s="224" t="s">
        <v>295</v>
      </c>
      <c r="M9" s="46" t="s">
        <v>278</v>
      </c>
      <c r="O9" s="165">
        <v>5</v>
      </c>
      <c r="P9" s="165" t="s">
        <v>92</v>
      </c>
      <c r="Q9" s="165" t="s">
        <v>296</v>
      </c>
      <c r="R9" s="166" t="s">
        <v>297</v>
      </c>
    </row>
    <row r="10" spans="1:23" ht="27.75" x14ac:dyDescent="0.4">
      <c r="A10" s="75">
        <v>8</v>
      </c>
      <c r="B10" s="67" t="s">
        <v>298</v>
      </c>
      <c r="C10" s="67" t="s">
        <v>299</v>
      </c>
      <c r="D10" s="67"/>
      <c r="F10" s="128">
        <v>7</v>
      </c>
      <c r="G10" s="46" t="s">
        <v>300</v>
      </c>
      <c r="H10" s="46">
        <v>195</v>
      </c>
      <c r="I10" s="96" t="s">
        <v>301</v>
      </c>
      <c r="J10" s="96" t="s">
        <v>302</v>
      </c>
      <c r="K10" s="253" t="s">
        <v>303</v>
      </c>
      <c r="L10" s="225" t="s">
        <v>303</v>
      </c>
      <c r="M10" s="46" t="s">
        <v>278</v>
      </c>
      <c r="O10" s="108">
        <v>6</v>
      </c>
      <c r="P10" s="108" t="s">
        <v>95</v>
      </c>
      <c r="Q10" s="108" t="s">
        <v>304</v>
      </c>
      <c r="R10" s="162" t="s">
        <v>305</v>
      </c>
    </row>
    <row r="11" spans="1:23" ht="55.5" x14ac:dyDescent="0.4">
      <c r="A11" s="190">
        <v>9</v>
      </c>
      <c r="B11" s="187" t="s">
        <v>306</v>
      </c>
      <c r="C11" s="188" t="s">
        <v>307</v>
      </c>
      <c r="D11" s="189" t="s">
        <v>308</v>
      </c>
      <c r="F11" s="128">
        <v>8</v>
      </c>
      <c r="G11" s="46" t="s">
        <v>309</v>
      </c>
      <c r="H11" s="46">
        <v>1</v>
      </c>
      <c r="I11" s="96" t="s">
        <v>310</v>
      </c>
      <c r="J11" s="96" t="s">
        <v>311</v>
      </c>
      <c r="K11" s="253" t="s">
        <v>312</v>
      </c>
      <c r="L11" s="225" t="s">
        <v>313</v>
      </c>
      <c r="M11" s="46" t="s">
        <v>278</v>
      </c>
      <c r="O11" s="108">
        <v>7</v>
      </c>
      <c r="P11" s="108" t="s">
        <v>101</v>
      </c>
      <c r="Q11" s="108" t="s">
        <v>314</v>
      </c>
      <c r="R11" s="169" t="s">
        <v>315</v>
      </c>
    </row>
    <row r="12" spans="1:23" ht="41.65" x14ac:dyDescent="0.4">
      <c r="A12" s="75">
        <v>10</v>
      </c>
      <c r="B12" s="62" t="s">
        <v>316</v>
      </c>
      <c r="C12" s="46" t="s">
        <v>317</v>
      </c>
      <c r="D12" s="79" t="s">
        <v>318</v>
      </c>
      <c r="F12" s="128">
        <v>9</v>
      </c>
      <c r="G12" s="46" t="s">
        <v>319</v>
      </c>
      <c r="H12" s="46">
        <v>195</v>
      </c>
      <c r="I12" s="96" t="s">
        <v>320</v>
      </c>
      <c r="J12" s="96" t="s">
        <v>321</v>
      </c>
      <c r="K12" s="252" t="s">
        <v>322</v>
      </c>
      <c r="L12" s="224" t="s">
        <v>323</v>
      </c>
      <c r="M12" s="46" t="s">
        <v>278</v>
      </c>
      <c r="O12" s="108">
        <v>8</v>
      </c>
      <c r="P12" s="108" t="s">
        <v>202</v>
      </c>
      <c r="Q12" s="168" t="s">
        <v>59</v>
      </c>
      <c r="R12" s="67"/>
    </row>
    <row r="13" spans="1:23" ht="55.5" x14ac:dyDescent="0.4">
      <c r="A13" s="190">
        <v>11</v>
      </c>
      <c r="B13" s="62" t="s">
        <v>324</v>
      </c>
      <c r="C13" s="84" t="s">
        <v>325</v>
      </c>
      <c r="D13" s="79" t="s">
        <v>326</v>
      </c>
      <c r="F13" s="128">
        <v>10</v>
      </c>
      <c r="G13" s="46" t="s">
        <v>327</v>
      </c>
      <c r="H13" s="46">
        <v>194</v>
      </c>
      <c r="I13" s="96" t="s">
        <v>328</v>
      </c>
      <c r="J13" s="96" t="s">
        <v>329</v>
      </c>
      <c r="K13" s="252" t="s">
        <v>330</v>
      </c>
      <c r="L13" s="224" t="s">
        <v>331</v>
      </c>
      <c r="M13" s="46" t="s">
        <v>278</v>
      </c>
      <c r="O13" s="108">
        <v>9</v>
      </c>
      <c r="P13" s="108" t="s">
        <v>86</v>
      </c>
      <c r="Q13" s="108" t="s">
        <v>332</v>
      </c>
      <c r="R13" s="166" t="s">
        <v>333</v>
      </c>
    </row>
    <row r="14" spans="1:23" ht="41.65" x14ac:dyDescent="0.4">
      <c r="A14" s="75">
        <v>12</v>
      </c>
      <c r="B14" s="184" t="s">
        <v>334</v>
      </c>
      <c r="C14" s="194" t="s">
        <v>335</v>
      </c>
      <c r="D14" s="186" t="s">
        <v>336</v>
      </c>
      <c r="F14" s="128">
        <v>11</v>
      </c>
      <c r="G14" s="46" t="s">
        <v>337</v>
      </c>
      <c r="H14" s="46">
        <v>1</v>
      </c>
      <c r="I14" s="96" t="s">
        <v>338</v>
      </c>
      <c r="J14" s="96" t="s">
        <v>339</v>
      </c>
      <c r="K14" s="252" t="s">
        <v>340</v>
      </c>
      <c r="L14" s="224" t="s">
        <v>341</v>
      </c>
      <c r="M14" s="46" t="s">
        <v>278</v>
      </c>
      <c r="O14" s="108">
        <v>10</v>
      </c>
      <c r="P14" s="108" t="s">
        <v>214</v>
      </c>
      <c r="Q14" s="108" t="s">
        <v>342</v>
      </c>
      <c r="R14" s="108" t="s">
        <v>343</v>
      </c>
    </row>
    <row r="15" spans="1:23" ht="67.5" x14ac:dyDescent="0.4">
      <c r="A15" s="193">
        <v>13</v>
      </c>
      <c r="B15" s="67" t="s">
        <v>344</v>
      </c>
      <c r="C15" s="67" t="s">
        <v>345</v>
      </c>
      <c r="D15" s="67" t="s">
        <v>346</v>
      </c>
      <c r="F15" s="128">
        <v>12</v>
      </c>
      <c r="G15" s="134" t="s">
        <v>347</v>
      </c>
      <c r="H15" s="134">
        <v>1</v>
      </c>
      <c r="I15" s="135" t="s">
        <v>348</v>
      </c>
      <c r="J15" s="135"/>
      <c r="K15" s="254" t="s">
        <v>349</v>
      </c>
      <c r="L15" s="226" t="s">
        <v>350</v>
      </c>
      <c r="M15" s="46" t="s">
        <v>278</v>
      </c>
      <c r="O15" s="108">
        <v>11</v>
      </c>
      <c r="P15" s="108" t="s">
        <v>351</v>
      </c>
      <c r="Q15" s="108" t="s">
        <v>352</v>
      </c>
      <c r="R15" s="170" t="s">
        <v>353</v>
      </c>
    </row>
    <row r="16" spans="1:23" ht="83.25" x14ac:dyDescent="0.4">
      <c r="A16" s="98">
        <v>14</v>
      </c>
      <c r="B16" s="172" t="s">
        <v>354</v>
      </c>
      <c r="C16" s="191" t="s">
        <v>355</v>
      </c>
      <c r="D16" s="192" t="s">
        <v>356</v>
      </c>
      <c r="F16" s="128">
        <v>13</v>
      </c>
      <c r="G16" s="46" t="s">
        <v>357</v>
      </c>
      <c r="H16" s="46">
        <f>200000*200</f>
        <v>40000000</v>
      </c>
      <c r="I16" s="96" t="s">
        <v>358</v>
      </c>
      <c r="J16" s="96" t="s">
        <v>359</v>
      </c>
      <c r="K16" s="252" t="s">
        <v>360</v>
      </c>
      <c r="L16" s="224" t="s">
        <v>361</v>
      </c>
      <c r="M16" s="46" t="s">
        <v>278</v>
      </c>
      <c r="O16" s="108">
        <v>12</v>
      </c>
      <c r="P16" s="108" t="s">
        <v>217</v>
      </c>
      <c r="Q16" s="168" t="s">
        <v>362</v>
      </c>
      <c r="R16" s="67"/>
    </row>
    <row r="17" spans="1:18" ht="97.15" x14ac:dyDescent="0.4">
      <c r="A17" s="193">
        <v>15</v>
      </c>
      <c r="B17" s="67" t="s">
        <v>363</v>
      </c>
      <c r="C17" s="67" t="s">
        <v>364</v>
      </c>
      <c r="D17" s="67"/>
      <c r="F17" s="128">
        <v>14</v>
      </c>
      <c r="G17" s="46" t="s">
        <v>365</v>
      </c>
      <c r="H17" s="46">
        <f>100000*200</f>
        <v>20000000</v>
      </c>
      <c r="I17" s="96" t="s">
        <v>366</v>
      </c>
      <c r="J17" s="96" t="s">
        <v>367</v>
      </c>
      <c r="K17" s="252" t="s">
        <v>368</v>
      </c>
      <c r="L17" s="224" t="s">
        <v>369</v>
      </c>
      <c r="M17" s="46" t="s">
        <v>278</v>
      </c>
      <c r="O17" s="46">
        <v>13</v>
      </c>
      <c r="P17" s="46" t="s">
        <v>219</v>
      </c>
      <c r="Q17" s="46" t="s">
        <v>370</v>
      </c>
      <c r="R17" s="165" t="s">
        <v>371</v>
      </c>
    </row>
    <row r="18" spans="1:18" ht="41.65" x14ac:dyDescent="0.4">
      <c r="A18" s="75">
        <v>16</v>
      </c>
      <c r="B18" s="187" t="s">
        <v>372</v>
      </c>
      <c r="C18" s="119" t="s">
        <v>373</v>
      </c>
      <c r="D18" s="189" t="s">
        <v>374</v>
      </c>
      <c r="F18" s="128">
        <v>15</v>
      </c>
      <c r="G18" s="46" t="s">
        <v>375</v>
      </c>
      <c r="H18" s="46">
        <v>2</v>
      </c>
      <c r="I18" s="96" t="s">
        <v>376</v>
      </c>
      <c r="J18" s="96" t="s">
        <v>377</v>
      </c>
      <c r="K18" s="252" t="s">
        <v>378</v>
      </c>
      <c r="L18" s="224" t="s">
        <v>379</v>
      </c>
      <c r="M18" s="46" t="s">
        <v>278</v>
      </c>
      <c r="O18" s="167">
        <v>14</v>
      </c>
      <c r="P18" s="167" t="s">
        <v>380</v>
      </c>
      <c r="Q18" s="167" t="s">
        <v>381</v>
      </c>
      <c r="R18" s="167" t="s">
        <v>382</v>
      </c>
    </row>
    <row r="19" spans="1:18" ht="83.25" x14ac:dyDescent="0.4">
      <c r="A19" s="190">
        <v>17</v>
      </c>
      <c r="B19" s="62" t="s">
        <v>383</v>
      </c>
      <c r="C19" s="81" t="s">
        <v>384</v>
      </c>
      <c r="D19" s="80">
        <v>20000</v>
      </c>
      <c r="F19" s="128">
        <v>16</v>
      </c>
      <c r="G19" s="46" t="s">
        <v>385</v>
      </c>
      <c r="H19" s="46">
        <f>H18*3500000</f>
        <v>7000000</v>
      </c>
      <c r="I19" s="96" t="s">
        <v>386</v>
      </c>
      <c r="J19" s="96" t="s">
        <v>387</v>
      </c>
      <c r="K19" s="252" t="s">
        <v>388</v>
      </c>
      <c r="L19" s="224" t="s">
        <v>389</v>
      </c>
      <c r="M19" s="46" t="s">
        <v>278</v>
      </c>
      <c r="O19" s="67">
        <v>15</v>
      </c>
      <c r="P19" s="67" t="s">
        <v>390</v>
      </c>
      <c r="Q19" s="67" t="s">
        <v>391</v>
      </c>
      <c r="R19" s="67" t="s">
        <v>392</v>
      </c>
    </row>
    <row r="20" spans="1:18" ht="97.15" x14ac:dyDescent="0.4">
      <c r="A20" s="75">
        <v>18</v>
      </c>
      <c r="B20" s="62" t="s">
        <v>393</v>
      </c>
      <c r="C20" s="81" t="s">
        <v>394</v>
      </c>
      <c r="D20" s="79" t="s">
        <v>395</v>
      </c>
      <c r="F20" s="128">
        <v>17</v>
      </c>
      <c r="G20" s="46" t="s">
        <v>396</v>
      </c>
      <c r="H20" s="46"/>
      <c r="I20" s="96" t="s">
        <v>397</v>
      </c>
      <c r="J20" s="96" t="s">
        <v>398</v>
      </c>
      <c r="K20" s="252" t="s">
        <v>399</v>
      </c>
      <c r="L20" s="224" t="s">
        <v>400</v>
      </c>
      <c r="M20" s="46" t="s">
        <v>278</v>
      </c>
      <c r="N20" s="90" t="s">
        <v>401</v>
      </c>
    </row>
    <row r="21" spans="1:18" ht="121.5" x14ac:dyDescent="0.4">
      <c r="A21" s="190">
        <v>19</v>
      </c>
      <c r="B21" s="62" t="s">
        <v>402</v>
      </c>
      <c r="C21" s="81" t="s">
        <v>403</v>
      </c>
      <c r="D21" s="79" t="s">
        <v>404</v>
      </c>
      <c r="F21" s="128">
        <v>18</v>
      </c>
      <c r="G21" s="46" t="s">
        <v>405</v>
      </c>
      <c r="H21" s="134">
        <v>200000</v>
      </c>
      <c r="I21" s="135" t="s">
        <v>406</v>
      </c>
      <c r="J21" s="135"/>
      <c r="K21" s="254" t="s">
        <v>407</v>
      </c>
      <c r="L21" s="226" t="s">
        <v>408</v>
      </c>
      <c r="M21" s="46" t="s">
        <v>278</v>
      </c>
    </row>
    <row r="22" spans="1:18" ht="13.9" x14ac:dyDescent="0.4">
      <c r="A22" s="75">
        <v>20</v>
      </c>
      <c r="B22" s="46" t="s">
        <v>409</v>
      </c>
      <c r="C22" s="62" t="s">
        <v>410</v>
      </c>
      <c r="D22" s="167" t="s">
        <v>411</v>
      </c>
      <c r="F22" s="76">
        <v>19</v>
      </c>
      <c r="G22" s="46"/>
      <c r="H22" s="46"/>
      <c r="I22" s="46"/>
      <c r="J22" s="46"/>
      <c r="K22" s="46"/>
      <c r="L22" s="46" t="e" cm="1">
        <f t="array" ref="L22">-gui</f>
        <v>#NAME?</v>
      </c>
      <c r="M22" s="46"/>
    </row>
    <row r="23" spans="1:18" ht="13.9" x14ac:dyDescent="0.4">
      <c r="A23" s="190">
        <v>21</v>
      </c>
      <c r="B23" s="90" t="s">
        <v>412</v>
      </c>
      <c r="C23" s="90" t="s">
        <v>413</v>
      </c>
      <c r="D23" s="67" t="s">
        <v>414</v>
      </c>
    </row>
    <row r="24" spans="1:18" ht="13.9" x14ac:dyDescent="0.4">
      <c r="A24" s="75">
        <v>22</v>
      </c>
      <c r="B24" s="95" t="s">
        <v>415</v>
      </c>
      <c r="C24" s="77" t="s">
        <v>416</v>
      </c>
      <c r="D24" s="189"/>
    </row>
    <row r="25" spans="1:18" ht="13.9" x14ac:dyDescent="0.4">
      <c r="A25" s="190">
        <v>23</v>
      </c>
      <c r="B25" s="62" t="s">
        <v>417</v>
      </c>
      <c r="C25" s="84" t="s">
        <v>418</v>
      </c>
      <c r="D25" s="114">
        <v>45270</v>
      </c>
    </row>
    <row r="26" spans="1:18" ht="13.9" x14ac:dyDescent="0.4">
      <c r="A26" s="196">
        <v>24</v>
      </c>
      <c r="B26" s="184" t="s">
        <v>419</v>
      </c>
      <c r="C26" s="167" t="s">
        <v>420</v>
      </c>
      <c r="D26" s="186" t="s">
        <v>421</v>
      </c>
    </row>
    <row r="27" spans="1:18" ht="13.9" x14ac:dyDescent="0.4">
      <c r="A27" s="190">
        <v>25</v>
      </c>
      <c r="B27" s="172" t="s">
        <v>422</v>
      </c>
      <c r="C27" s="191" t="s">
        <v>423</v>
      </c>
      <c r="D27" s="192"/>
    </row>
    <row r="28" spans="1:18" ht="13.9" x14ac:dyDescent="0.4">
      <c r="C28" s="90"/>
    </row>
    <row r="29" spans="1:18" ht="13.9" x14ac:dyDescent="0.4">
      <c r="C29" s="90"/>
    </row>
    <row r="30" spans="1:18" ht="13.9" x14ac:dyDescent="0.4">
      <c r="C30" s="90"/>
    </row>
    <row r="31" spans="1:18" ht="13.9" x14ac:dyDescent="0.4">
      <c r="C31" s="90"/>
    </row>
    <row r="32" spans="1:18" ht="13.9" x14ac:dyDescent="0.4">
      <c r="C32" s="90"/>
    </row>
    <row r="33" spans="1:3" ht="13.9" x14ac:dyDescent="0.4">
      <c r="C33" s="90"/>
    </row>
    <row r="35" spans="1:3" ht="13.9" x14ac:dyDescent="0.4">
      <c r="A35" s="320" t="s">
        <v>424</v>
      </c>
      <c r="B35" s="321"/>
      <c r="C35" s="322"/>
    </row>
    <row r="36" spans="1:3" ht="15" customHeight="1" x14ac:dyDescent="0.4">
      <c r="A36" s="175" t="s">
        <v>1</v>
      </c>
      <c r="B36" s="176" t="s">
        <v>181</v>
      </c>
      <c r="C36" s="177" t="s">
        <v>3</v>
      </c>
    </row>
    <row r="37" spans="1:3" ht="15" customHeight="1" x14ac:dyDescent="0.4">
      <c r="A37" s="61">
        <v>1</v>
      </c>
      <c r="B37" s="67" t="s">
        <v>425</v>
      </c>
      <c r="C37" s="172" t="s">
        <v>261</v>
      </c>
    </row>
    <row r="38" spans="1:3" ht="13.9" x14ac:dyDescent="0.4">
      <c r="A38" s="58">
        <v>2</v>
      </c>
      <c r="B38" s="67" t="s">
        <v>426</v>
      </c>
      <c r="C38" s="173" t="s">
        <v>254</v>
      </c>
    </row>
    <row r="39" spans="1:3" ht="13.9" x14ac:dyDescent="0.4">
      <c r="A39" s="61">
        <v>3</v>
      </c>
      <c r="B39" s="67" t="s">
        <v>427</v>
      </c>
      <c r="C39" s="172" t="s">
        <v>428</v>
      </c>
    </row>
    <row r="40" spans="1:3" ht="13.9" x14ac:dyDescent="0.4">
      <c r="A40" s="58">
        <v>4</v>
      </c>
      <c r="B40" s="67" t="s">
        <v>429</v>
      </c>
      <c r="C40" s="174" t="s">
        <v>430</v>
      </c>
    </row>
    <row r="41" spans="1:3" ht="13.9" x14ac:dyDescent="0.4">
      <c r="A41" s="61">
        <v>5</v>
      </c>
      <c r="B41" s="67" t="s">
        <v>431</v>
      </c>
      <c r="C41" s="174" t="s">
        <v>432</v>
      </c>
    </row>
  </sheetData>
  <mergeCells count="4">
    <mergeCell ref="O1:R2"/>
    <mergeCell ref="A35:C35"/>
    <mergeCell ref="A1:D1"/>
    <mergeCell ref="G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C05F-5F70-4D60-B374-6FA5D5575B7C}">
  <dimension ref="A1:E70"/>
  <sheetViews>
    <sheetView workbookViewId="0">
      <selection activeCell="C27" sqref="C27"/>
    </sheetView>
  </sheetViews>
  <sheetFormatPr defaultRowHeight="13.5" x14ac:dyDescent="0.35"/>
  <cols>
    <col min="1" max="1" width="89.6875" customWidth="1"/>
    <col min="3" max="3" width="24" bestFit="1" customWidth="1"/>
    <col min="4" max="4" width="22.3125" customWidth="1"/>
    <col min="5" max="5" width="24" customWidth="1"/>
  </cols>
  <sheetData>
    <row r="1" spans="1:5" x14ac:dyDescent="0.35">
      <c r="C1" t="s">
        <v>433</v>
      </c>
      <c r="D1" t="s">
        <v>434</v>
      </c>
      <c r="E1" t="s">
        <v>435</v>
      </c>
    </row>
    <row r="2" spans="1:5" ht="14.25" x14ac:dyDescent="0.45">
      <c r="A2" s="325" t="s">
        <v>436</v>
      </c>
      <c r="C2" s="125" t="s">
        <v>437</v>
      </c>
      <c r="D2" s="126" t="s">
        <v>438</v>
      </c>
    </row>
    <row r="3" spans="1:5" ht="14.25" x14ac:dyDescent="0.45">
      <c r="A3" s="325"/>
      <c r="C3" s="125" t="s">
        <v>439</v>
      </c>
      <c r="D3" s="126" t="s">
        <v>440</v>
      </c>
    </row>
    <row r="4" spans="1:5" ht="14.25" x14ac:dyDescent="0.45">
      <c r="A4" s="325"/>
      <c r="C4" s="125" t="s">
        <v>441</v>
      </c>
      <c r="D4" s="126" t="s">
        <v>442</v>
      </c>
    </row>
    <row r="5" spans="1:5" ht="14.25" x14ac:dyDescent="0.45">
      <c r="A5" s="325"/>
      <c r="C5" s="125" t="s">
        <v>443</v>
      </c>
      <c r="D5" s="126" t="s">
        <v>444</v>
      </c>
    </row>
    <row r="6" spans="1:5" ht="14.25" x14ac:dyDescent="0.45">
      <c r="A6" s="325"/>
      <c r="C6" s="125" t="s">
        <v>445</v>
      </c>
      <c r="D6" s="126" t="s">
        <v>446</v>
      </c>
    </row>
    <row r="7" spans="1:5" ht="14.25" x14ac:dyDescent="0.45">
      <c r="A7" s="325"/>
      <c r="C7" s="125" t="s">
        <v>447</v>
      </c>
      <c r="D7" s="126" t="s">
        <v>448</v>
      </c>
      <c r="E7" t="s">
        <v>449</v>
      </c>
    </row>
    <row r="8" spans="1:5" ht="14.25" x14ac:dyDescent="0.45">
      <c r="A8" s="325"/>
      <c r="C8" s="125" t="s">
        <v>450</v>
      </c>
      <c r="D8" s="126" t="s">
        <v>451</v>
      </c>
      <c r="E8" t="s">
        <v>452</v>
      </c>
    </row>
    <row r="9" spans="1:5" ht="14.25" x14ac:dyDescent="0.45">
      <c r="A9" s="325"/>
      <c r="C9" s="125" t="s">
        <v>453</v>
      </c>
      <c r="D9" s="126" t="s">
        <v>454</v>
      </c>
      <c r="E9" t="s">
        <v>455</v>
      </c>
    </row>
    <row r="10" spans="1:5" ht="14.25" x14ac:dyDescent="0.45">
      <c r="A10" s="325"/>
      <c r="C10" s="125" t="s">
        <v>456</v>
      </c>
      <c r="D10" s="126" t="s">
        <v>457</v>
      </c>
      <c r="E10" t="s">
        <v>458</v>
      </c>
    </row>
    <row r="11" spans="1:5" ht="14.25" x14ac:dyDescent="0.45">
      <c r="A11" s="325"/>
      <c r="C11" s="125" t="s">
        <v>459</v>
      </c>
      <c r="D11" s="126" t="s">
        <v>460</v>
      </c>
      <c r="E11" t="s">
        <v>461</v>
      </c>
    </row>
    <row r="12" spans="1:5" ht="14.25" x14ac:dyDescent="0.45">
      <c r="A12" s="325"/>
      <c r="C12" s="125" t="s">
        <v>462</v>
      </c>
      <c r="D12" s="126" t="s">
        <v>463</v>
      </c>
      <c r="E12" t="s">
        <v>464</v>
      </c>
    </row>
    <row r="13" spans="1:5" ht="14.25" x14ac:dyDescent="0.45">
      <c r="A13" s="325"/>
      <c r="C13" s="125" t="s">
        <v>465</v>
      </c>
      <c r="D13" s="126" t="s">
        <v>466</v>
      </c>
    </row>
    <row r="14" spans="1:5" ht="14.25" x14ac:dyDescent="0.45">
      <c r="A14" s="325"/>
      <c r="C14" s="125" t="s">
        <v>467</v>
      </c>
      <c r="D14" s="126" t="s">
        <v>468</v>
      </c>
    </row>
    <row r="15" spans="1:5" ht="14.25" x14ac:dyDescent="0.45">
      <c r="A15" s="325"/>
      <c r="C15" s="125" t="s">
        <v>469</v>
      </c>
      <c r="D15" s="126" t="s">
        <v>470</v>
      </c>
      <c r="E15" t="s">
        <v>471</v>
      </c>
    </row>
    <row r="16" spans="1:5" ht="14.25" x14ac:dyDescent="0.45">
      <c r="A16" s="325"/>
      <c r="C16" s="125" t="s">
        <v>472</v>
      </c>
      <c r="D16" s="126" t="s">
        <v>470</v>
      </c>
      <c r="E16" t="s">
        <v>473</v>
      </c>
    </row>
    <row r="17" spans="1:5" ht="14.25" x14ac:dyDescent="0.45">
      <c r="A17" s="325"/>
      <c r="C17" s="125" t="s">
        <v>474</v>
      </c>
      <c r="D17" s="126" t="s">
        <v>448</v>
      </c>
      <c r="E17" t="s">
        <v>475</v>
      </c>
    </row>
    <row r="18" spans="1:5" ht="14.25" x14ac:dyDescent="0.45">
      <c r="A18" s="325"/>
      <c r="C18" s="125" t="s">
        <v>476</v>
      </c>
      <c r="D18" s="126" t="s">
        <v>477</v>
      </c>
      <c r="E18" t="s">
        <v>478</v>
      </c>
    </row>
    <row r="19" spans="1:5" ht="14.25" x14ac:dyDescent="0.45">
      <c r="A19" s="325"/>
      <c r="C19" s="125" t="s">
        <v>479</v>
      </c>
      <c r="D19" s="126" t="s">
        <v>480</v>
      </c>
    </row>
    <row r="20" spans="1:5" ht="14.25" x14ac:dyDescent="0.45">
      <c r="A20" s="325"/>
      <c r="C20" s="125" t="s">
        <v>481</v>
      </c>
      <c r="D20" s="126" t="s">
        <v>482</v>
      </c>
    </row>
    <row r="21" spans="1:5" ht="14.25" x14ac:dyDescent="0.45">
      <c r="A21" s="325"/>
      <c r="C21" s="125" t="s">
        <v>483</v>
      </c>
      <c r="D21" s="126" t="s">
        <v>484</v>
      </c>
    </row>
    <row r="22" spans="1:5" ht="14.25" x14ac:dyDescent="0.45">
      <c r="A22" s="325"/>
      <c r="C22" s="125" t="s">
        <v>485</v>
      </c>
      <c r="D22" s="126" t="s">
        <v>486</v>
      </c>
      <c r="E22" t="s">
        <v>487</v>
      </c>
    </row>
    <row r="23" spans="1:5" ht="14.25" x14ac:dyDescent="0.45">
      <c r="A23" s="325"/>
      <c r="C23" s="125" t="s">
        <v>488</v>
      </c>
      <c r="D23" s="126" t="s">
        <v>489</v>
      </c>
      <c r="E23" t="s">
        <v>490</v>
      </c>
    </row>
    <row r="24" spans="1:5" ht="14.25" x14ac:dyDescent="0.45">
      <c r="A24" s="325"/>
      <c r="C24" s="125" t="s">
        <v>491</v>
      </c>
      <c r="D24" s="126" t="s">
        <v>492</v>
      </c>
      <c r="E24" t="s">
        <v>493</v>
      </c>
    </row>
    <row r="25" spans="1:5" ht="14.25" x14ac:dyDescent="0.45">
      <c r="A25" s="325"/>
      <c r="C25" s="125" t="s">
        <v>494</v>
      </c>
      <c r="D25" s="126" t="s">
        <v>486</v>
      </c>
    </row>
    <row r="26" spans="1:5" ht="14.25" x14ac:dyDescent="0.45">
      <c r="A26" s="325"/>
      <c r="C26" s="125" t="s">
        <v>495</v>
      </c>
      <c r="D26" s="126" t="s">
        <v>496</v>
      </c>
    </row>
    <row r="27" spans="1:5" ht="14.25" x14ac:dyDescent="0.45">
      <c r="A27" s="325"/>
      <c r="C27" s="125" t="s">
        <v>497</v>
      </c>
      <c r="D27" s="126" t="s">
        <v>498</v>
      </c>
      <c r="E27" t="s">
        <v>499</v>
      </c>
    </row>
    <row r="28" spans="1:5" ht="14.25" x14ac:dyDescent="0.45">
      <c r="A28" s="325"/>
      <c r="C28" s="125" t="s">
        <v>500</v>
      </c>
      <c r="D28" s="126" t="s">
        <v>501</v>
      </c>
      <c r="E28" t="s">
        <v>502</v>
      </c>
    </row>
    <row r="29" spans="1:5" ht="14.25" x14ac:dyDescent="0.45">
      <c r="A29" s="325"/>
      <c r="C29" s="125" t="s">
        <v>503</v>
      </c>
      <c r="D29" s="126" t="s">
        <v>504</v>
      </c>
      <c r="E29" t="s">
        <v>505</v>
      </c>
    </row>
    <row r="30" spans="1:5" ht="14.25" x14ac:dyDescent="0.45">
      <c r="A30" s="325"/>
      <c r="C30" s="125" t="s">
        <v>506</v>
      </c>
      <c r="D30" s="126" t="s">
        <v>507</v>
      </c>
      <c r="E30" t="s">
        <v>508</v>
      </c>
    </row>
    <row r="31" spans="1:5" ht="14.25" x14ac:dyDescent="0.45">
      <c r="A31" s="325"/>
      <c r="C31" s="125" t="s">
        <v>509</v>
      </c>
      <c r="D31" s="126" t="s">
        <v>501</v>
      </c>
    </row>
    <row r="32" spans="1:5" ht="14.25" x14ac:dyDescent="0.45">
      <c r="A32" s="325"/>
      <c r="C32" s="125" t="s">
        <v>510</v>
      </c>
      <c r="D32" s="126" t="s">
        <v>511</v>
      </c>
      <c r="E32" t="s">
        <v>512</v>
      </c>
    </row>
    <row r="33" spans="1:1" x14ac:dyDescent="0.35">
      <c r="A33" s="325"/>
    </row>
    <row r="34" spans="1:1" x14ac:dyDescent="0.35">
      <c r="A34" s="325"/>
    </row>
    <row r="35" spans="1:1" x14ac:dyDescent="0.35">
      <c r="A35" s="325"/>
    </row>
    <row r="36" spans="1:1" x14ac:dyDescent="0.35">
      <c r="A36" s="325"/>
    </row>
    <row r="37" spans="1:1" x14ac:dyDescent="0.35">
      <c r="A37" s="325"/>
    </row>
    <row r="38" spans="1:1" x14ac:dyDescent="0.35">
      <c r="A38" s="325"/>
    </row>
    <row r="39" spans="1:1" x14ac:dyDescent="0.35">
      <c r="A39" s="325"/>
    </row>
    <row r="40" spans="1:1" x14ac:dyDescent="0.35">
      <c r="A40" s="325"/>
    </row>
    <row r="41" spans="1:1" x14ac:dyDescent="0.35">
      <c r="A41" s="325"/>
    </row>
    <row r="42" spans="1:1" x14ac:dyDescent="0.35">
      <c r="A42" s="325"/>
    </row>
    <row r="43" spans="1:1" x14ac:dyDescent="0.35">
      <c r="A43" s="325"/>
    </row>
    <row r="44" spans="1:1" x14ac:dyDescent="0.35">
      <c r="A44" s="325"/>
    </row>
    <row r="45" spans="1:1" x14ac:dyDescent="0.35">
      <c r="A45" s="325"/>
    </row>
    <row r="46" spans="1:1" x14ac:dyDescent="0.35">
      <c r="A46" s="325"/>
    </row>
    <row r="47" spans="1:1" x14ac:dyDescent="0.35">
      <c r="A47" s="325"/>
    </row>
    <row r="48" spans="1:1" x14ac:dyDescent="0.35">
      <c r="A48" s="325"/>
    </row>
    <row r="49" spans="1:1" x14ac:dyDescent="0.35">
      <c r="A49" s="325"/>
    </row>
    <row r="50" spans="1:1" x14ac:dyDescent="0.35">
      <c r="A50" s="325"/>
    </row>
    <row r="51" spans="1:1" x14ac:dyDescent="0.35">
      <c r="A51" s="325"/>
    </row>
    <row r="52" spans="1:1" x14ac:dyDescent="0.35">
      <c r="A52" s="325"/>
    </row>
    <row r="53" spans="1:1" x14ac:dyDescent="0.35">
      <c r="A53" s="325"/>
    </row>
    <row r="54" spans="1:1" x14ac:dyDescent="0.35">
      <c r="A54" s="325"/>
    </row>
    <row r="55" spans="1:1" x14ac:dyDescent="0.35">
      <c r="A55" s="325"/>
    </row>
    <row r="56" spans="1:1" x14ac:dyDescent="0.35">
      <c r="A56" s="325"/>
    </row>
    <row r="57" spans="1:1" x14ac:dyDescent="0.35">
      <c r="A57" s="325"/>
    </row>
    <row r="58" spans="1:1" x14ac:dyDescent="0.35">
      <c r="A58" s="325"/>
    </row>
    <row r="59" spans="1:1" x14ac:dyDescent="0.35">
      <c r="A59" s="325"/>
    </row>
    <row r="60" spans="1:1" x14ac:dyDescent="0.35">
      <c r="A60" s="325"/>
    </row>
    <row r="61" spans="1:1" x14ac:dyDescent="0.35">
      <c r="A61" s="325"/>
    </row>
    <row r="62" spans="1:1" x14ac:dyDescent="0.35">
      <c r="A62" s="325"/>
    </row>
    <row r="63" spans="1:1" ht="8.4499999999999993" customHeight="1" x14ac:dyDescent="0.35">
      <c r="A63" s="325"/>
    </row>
    <row r="64" spans="1:1" hidden="1" x14ac:dyDescent="0.35">
      <c r="A64" s="325"/>
    </row>
    <row r="65" spans="1:1" hidden="1" x14ac:dyDescent="0.35">
      <c r="A65" s="325"/>
    </row>
    <row r="66" spans="1:1" hidden="1" x14ac:dyDescent="0.35">
      <c r="A66" s="325"/>
    </row>
    <row r="67" spans="1:1" hidden="1" x14ac:dyDescent="0.35">
      <c r="A67" s="325"/>
    </row>
    <row r="68" spans="1:1" hidden="1" x14ac:dyDescent="0.35">
      <c r="A68" s="325"/>
    </row>
    <row r="69" spans="1:1" hidden="1" x14ac:dyDescent="0.35">
      <c r="A69" s="325"/>
    </row>
    <row r="70" spans="1:1" hidden="1" x14ac:dyDescent="0.35">
      <c r="A70" s="325"/>
    </row>
  </sheetData>
  <mergeCells count="1">
    <mergeCell ref="A2:A7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433E-B59D-47B3-9EF6-FA0F31A473D1}">
  <sheetPr>
    <tabColor rgb="FFFFC000"/>
  </sheetPr>
  <dimension ref="A2:K57"/>
  <sheetViews>
    <sheetView topLeftCell="A47" workbookViewId="0">
      <selection activeCell="D14" sqref="D14"/>
    </sheetView>
  </sheetViews>
  <sheetFormatPr defaultRowHeight="13.5" x14ac:dyDescent="0.35"/>
  <cols>
    <col min="1" max="1" width="3.3125" bestFit="1" customWidth="1"/>
    <col min="2" max="2" width="24.6875" bestFit="1" customWidth="1"/>
    <col min="3" max="3" width="50.875" bestFit="1" customWidth="1"/>
    <col min="4" max="4" width="38.5625" bestFit="1" customWidth="1"/>
    <col min="8" max="8" width="25" bestFit="1" customWidth="1"/>
    <col min="9" max="9" width="43.125" style="136" customWidth="1"/>
    <col min="10" max="10" width="37.125" bestFit="1" customWidth="1"/>
    <col min="11" max="11" width="39.125" customWidth="1"/>
  </cols>
  <sheetData>
    <row r="2" spans="1:11" ht="50.25" customHeight="1" x14ac:dyDescent="0.35">
      <c r="A2" s="323" t="s">
        <v>513</v>
      </c>
      <c r="B2" s="323"/>
      <c r="C2" s="323"/>
      <c r="D2" s="323"/>
      <c r="H2" s="326" t="s">
        <v>514</v>
      </c>
      <c r="I2" s="327"/>
      <c r="J2" s="327"/>
      <c r="K2" s="327"/>
    </row>
    <row r="3" spans="1:11" ht="13.9" x14ac:dyDescent="0.4">
      <c r="A3" s="180"/>
      <c r="B3" s="181" t="s">
        <v>181</v>
      </c>
      <c r="C3" s="182" t="s">
        <v>3</v>
      </c>
      <c r="D3" s="183"/>
      <c r="H3" s="201" t="s">
        <v>71</v>
      </c>
      <c r="I3" s="202" t="s">
        <v>3</v>
      </c>
      <c r="J3" s="203" t="s">
        <v>72</v>
      </c>
      <c r="K3" s="203" t="s">
        <v>515</v>
      </c>
    </row>
    <row r="4" spans="1:11" ht="13.9" x14ac:dyDescent="0.35">
      <c r="A4" s="190">
        <v>1</v>
      </c>
      <c r="B4" s="179" t="s">
        <v>247</v>
      </c>
      <c r="C4" s="179" t="s">
        <v>248</v>
      </c>
      <c r="D4" s="178"/>
      <c r="H4" s="204" t="s">
        <v>252</v>
      </c>
      <c r="I4" s="205" t="s">
        <v>254</v>
      </c>
      <c r="J4" s="206" t="s">
        <v>263</v>
      </c>
      <c r="K4" s="206"/>
    </row>
    <row r="5" spans="1:11" ht="40.5" x14ac:dyDescent="0.4">
      <c r="A5" s="75">
        <v>2</v>
      </c>
      <c r="B5" s="99" t="s">
        <v>249</v>
      </c>
      <c r="C5" s="100" t="s">
        <v>250</v>
      </c>
      <c r="D5" s="101" t="s">
        <v>251</v>
      </c>
      <c r="H5" s="207" t="s">
        <v>516</v>
      </c>
      <c r="I5" s="208" t="s">
        <v>517</v>
      </c>
      <c r="J5" s="209" t="s">
        <v>518</v>
      </c>
      <c r="K5" s="206"/>
    </row>
    <row r="6" spans="1:11" ht="40.9" x14ac:dyDescent="0.4">
      <c r="A6" s="190">
        <v>3</v>
      </c>
      <c r="B6" s="62" t="s">
        <v>256</v>
      </c>
      <c r="C6" s="81" t="s">
        <v>257</v>
      </c>
      <c r="D6" s="79" t="s">
        <v>258</v>
      </c>
      <c r="H6" s="207" t="s">
        <v>519</v>
      </c>
      <c r="I6" s="208" t="s">
        <v>520</v>
      </c>
      <c r="J6" s="210" t="s">
        <v>521</v>
      </c>
      <c r="K6" s="211" t="s">
        <v>522</v>
      </c>
    </row>
    <row r="7" spans="1:11" ht="26.25" x14ac:dyDescent="0.4">
      <c r="A7" s="75">
        <v>4</v>
      </c>
      <c r="B7" s="62" t="s">
        <v>264</v>
      </c>
      <c r="C7" s="78" t="s">
        <v>254</v>
      </c>
      <c r="D7" s="79" t="s">
        <v>265</v>
      </c>
      <c r="H7" s="207" t="s">
        <v>523</v>
      </c>
      <c r="I7" s="208" t="s">
        <v>524</v>
      </c>
      <c r="J7" s="210" t="s">
        <v>525</v>
      </c>
      <c r="K7" s="206"/>
    </row>
    <row r="8" spans="1:11" ht="71.25" x14ac:dyDescent="0.4">
      <c r="A8" s="190">
        <v>5</v>
      </c>
      <c r="B8" s="184" t="s">
        <v>271</v>
      </c>
      <c r="C8" s="185" t="s">
        <v>272</v>
      </c>
      <c r="D8" s="186" t="s">
        <v>273</v>
      </c>
      <c r="H8" s="207" t="s">
        <v>526</v>
      </c>
      <c r="I8" s="208" t="s">
        <v>527</v>
      </c>
      <c r="J8" s="209" t="s">
        <v>528</v>
      </c>
      <c r="K8" s="248" t="s">
        <v>529</v>
      </c>
    </row>
    <row r="9" spans="1:11" ht="25.5" customHeight="1" x14ac:dyDescent="0.4">
      <c r="A9" s="75">
        <v>6</v>
      </c>
      <c r="B9" s="67" t="s">
        <v>281</v>
      </c>
      <c r="C9" s="67" t="s">
        <v>282</v>
      </c>
      <c r="D9" s="67"/>
      <c r="H9" s="207" t="s">
        <v>530</v>
      </c>
      <c r="I9" s="208" t="s">
        <v>531</v>
      </c>
      <c r="J9" s="210" t="s">
        <v>532</v>
      </c>
      <c r="K9" s="249" t="s">
        <v>533</v>
      </c>
    </row>
    <row r="10" spans="1:11" ht="48" customHeight="1" x14ac:dyDescent="0.4">
      <c r="A10" s="190">
        <v>7</v>
      </c>
      <c r="B10" s="67" t="s">
        <v>289</v>
      </c>
      <c r="C10" s="67" t="s">
        <v>290</v>
      </c>
      <c r="D10" s="67"/>
      <c r="H10" s="207" t="s">
        <v>534</v>
      </c>
      <c r="I10" s="108" t="s">
        <v>535</v>
      </c>
      <c r="J10" s="209" t="s">
        <v>536</v>
      </c>
      <c r="K10" s="212"/>
    </row>
    <row r="11" spans="1:11" ht="13.9" x14ac:dyDescent="0.4">
      <c r="A11" s="75">
        <v>8</v>
      </c>
      <c r="B11" s="67" t="s">
        <v>298</v>
      </c>
      <c r="C11" s="67" t="s">
        <v>299</v>
      </c>
      <c r="D11" s="67"/>
      <c r="H11" s="328" t="s">
        <v>537</v>
      </c>
      <c r="I11" s="331" t="s">
        <v>538</v>
      </c>
      <c r="J11" s="334" t="s">
        <v>240</v>
      </c>
      <c r="K11" s="337" t="s">
        <v>539</v>
      </c>
    </row>
    <row r="12" spans="1:11" ht="13.9" x14ac:dyDescent="0.4">
      <c r="A12" s="190">
        <v>9</v>
      </c>
      <c r="B12" s="187" t="s">
        <v>306</v>
      </c>
      <c r="C12" s="188" t="s">
        <v>307</v>
      </c>
      <c r="D12" s="189" t="s">
        <v>308</v>
      </c>
      <c r="H12" s="329"/>
      <c r="I12" s="332"/>
      <c r="J12" s="335"/>
      <c r="K12" s="337"/>
    </row>
    <row r="13" spans="1:11" ht="13.9" x14ac:dyDescent="0.4">
      <c r="A13" s="75">
        <v>10</v>
      </c>
      <c r="B13" s="62" t="s">
        <v>316</v>
      </c>
      <c r="C13" s="46" t="s">
        <v>317</v>
      </c>
      <c r="D13" s="79" t="s">
        <v>318</v>
      </c>
      <c r="H13" s="329"/>
      <c r="I13" s="332"/>
      <c r="J13" s="335"/>
      <c r="K13" s="337"/>
    </row>
    <row r="14" spans="1:11" ht="13.9" x14ac:dyDescent="0.4">
      <c r="A14" s="190">
        <v>11</v>
      </c>
      <c r="B14" s="62" t="s">
        <v>324</v>
      </c>
      <c r="C14" s="84" t="s">
        <v>325</v>
      </c>
      <c r="D14" s="79" t="s">
        <v>326</v>
      </c>
      <c r="H14" s="329"/>
      <c r="I14" s="332"/>
      <c r="J14" s="335"/>
      <c r="K14" s="337"/>
    </row>
    <row r="15" spans="1:11" ht="76.5" customHeight="1" x14ac:dyDescent="0.4">
      <c r="A15" s="75">
        <v>12</v>
      </c>
      <c r="B15" s="184" t="s">
        <v>334</v>
      </c>
      <c r="C15" s="194" t="s">
        <v>335</v>
      </c>
      <c r="D15" s="186" t="s">
        <v>336</v>
      </c>
      <c r="H15" s="330"/>
      <c r="I15" s="333"/>
      <c r="J15" s="336"/>
      <c r="K15" s="337"/>
    </row>
    <row r="16" spans="1:11" ht="13.9" x14ac:dyDescent="0.4">
      <c r="A16" s="193">
        <v>13</v>
      </c>
      <c r="B16" s="67" t="s">
        <v>344</v>
      </c>
      <c r="C16" s="67" t="s">
        <v>345</v>
      </c>
      <c r="D16" s="67" t="s">
        <v>346</v>
      </c>
    </row>
    <row r="17" spans="1:10" ht="13.9" x14ac:dyDescent="0.4">
      <c r="A17" s="98">
        <v>14</v>
      </c>
      <c r="B17" s="172" t="s">
        <v>354</v>
      </c>
      <c r="C17" s="191" t="s">
        <v>355</v>
      </c>
      <c r="D17" s="192" t="s">
        <v>356</v>
      </c>
    </row>
    <row r="18" spans="1:10" ht="13.9" x14ac:dyDescent="0.4">
      <c r="A18" s="193">
        <v>15</v>
      </c>
      <c r="B18" s="67" t="s">
        <v>363</v>
      </c>
      <c r="C18" s="67" t="s">
        <v>364</v>
      </c>
      <c r="D18" s="67"/>
    </row>
    <row r="19" spans="1:10" ht="13.9" x14ac:dyDescent="0.4">
      <c r="A19" s="75">
        <v>16</v>
      </c>
      <c r="B19" s="187" t="s">
        <v>372</v>
      </c>
      <c r="C19" s="119" t="s">
        <v>373</v>
      </c>
      <c r="D19" s="189" t="s">
        <v>374</v>
      </c>
    </row>
    <row r="20" spans="1:10" ht="13.9" x14ac:dyDescent="0.4">
      <c r="A20" s="190">
        <v>17</v>
      </c>
      <c r="B20" s="62" t="s">
        <v>383</v>
      </c>
      <c r="C20" s="81" t="s">
        <v>384</v>
      </c>
      <c r="D20" s="80">
        <v>20000</v>
      </c>
    </row>
    <row r="21" spans="1:10" ht="52.5" customHeight="1" x14ac:dyDescent="0.4">
      <c r="A21" s="75">
        <v>18</v>
      </c>
      <c r="B21" s="62" t="s">
        <v>393</v>
      </c>
      <c r="C21" s="81" t="s">
        <v>394</v>
      </c>
      <c r="D21" s="79" t="s">
        <v>395</v>
      </c>
      <c r="H21" s="219"/>
      <c r="I21" s="219"/>
      <c r="J21" s="219"/>
    </row>
    <row r="22" spans="1:10" ht="42.75" customHeight="1" x14ac:dyDescent="0.4">
      <c r="A22" s="190">
        <v>19</v>
      </c>
      <c r="B22" s="62" t="s">
        <v>540</v>
      </c>
      <c r="C22" s="81" t="s">
        <v>403</v>
      </c>
      <c r="D22" s="79" t="s">
        <v>404</v>
      </c>
      <c r="H22" s="220"/>
      <c r="I22" s="218"/>
      <c r="J22" s="218"/>
    </row>
    <row r="23" spans="1:10" ht="13.9" x14ac:dyDescent="0.4">
      <c r="A23" s="75">
        <v>20</v>
      </c>
      <c r="B23" s="46" t="s">
        <v>541</v>
      </c>
      <c r="C23" s="62" t="s">
        <v>410</v>
      </c>
      <c r="D23" s="167" t="s">
        <v>411</v>
      </c>
      <c r="H23" s="250"/>
      <c r="I23" s="250"/>
      <c r="J23" s="250"/>
    </row>
    <row r="24" spans="1:10" ht="13.9" x14ac:dyDescent="0.4">
      <c r="A24" s="190">
        <v>21</v>
      </c>
      <c r="B24" s="90" t="s">
        <v>412</v>
      </c>
      <c r="C24" s="90" t="s">
        <v>413</v>
      </c>
      <c r="D24" s="67" t="s">
        <v>414</v>
      </c>
      <c r="H24" s="250"/>
      <c r="I24" s="250"/>
      <c r="J24" s="250"/>
    </row>
    <row r="25" spans="1:10" ht="22.5" customHeight="1" x14ac:dyDescent="0.4">
      <c r="A25" s="75">
        <v>22</v>
      </c>
      <c r="B25" s="95" t="s">
        <v>415</v>
      </c>
      <c r="C25" s="77" t="s">
        <v>416</v>
      </c>
      <c r="D25" s="189"/>
      <c r="H25" s="250"/>
      <c r="I25" s="250"/>
      <c r="J25" s="250"/>
    </row>
    <row r="26" spans="1:10" ht="13.9" x14ac:dyDescent="0.4">
      <c r="A26" s="190">
        <v>23</v>
      </c>
      <c r="B26" s="62" t="s">
        <v>417</v>
      </c>
      <c r="C26" s="84" t="s">
        <v>418</v>
      </c>
      <c r="D26" s="114">
        <v>45270</v>
      </c>
      <c r="H26" s="250"/>
      <c r="I26" s="250"/>
      <c r="J26" s="250"/>
    </row>
    <row r="27" spans="1:10" ht="13.9" x14ac:dyDescent="0.4">
      <c r="A27" s="196">
        <v>24</v>
      </c>
      <c r="B27" s="184" t="s">
        <v>419</v>
      </c>
      <c r="C27" s="167" t="s">
        <v>420</v>
      </c>
      <c r="D27" s="186" t="s">
        <v>421</v>
      </c>
      <c r="H27" s="250"/>
      <c r="I27" s="250"/>
      <c r="J27" s="250"/>
    </row>
    <row r="28" spans="1:10" ht="13.9" x14ac:dyDescent="0.4">
      <c r="A28" s="195">
        <v>25</v>
      </c>
      <c r="B28" s="197" t="s">
        <v>422</v>
      </c>
      <c r="C28" s="198" t="s">
        <v>423</v>
      </c>
      <c r="D28" s="199"/>
      <c r="I28" s="250"/>
    </row>
    <row r="29" spans="1:10" ht="13.9" x14ac:dyDescent="0.4">
      <c r="A29" s="58">
        <v>26</v>
      </c>
      <c r="B29" s="200" t="s">
        <v>542</v>
      </c>
      <c r="C29" s="137" t="s">
        <v>543</v>
      </c>
      <c r="D29" s="137" t="s">
        <v>544</v>
      </c>
      <c r="H29" s="250"/>
      <c r="I29" s="250"/>
      <c r="J29" s="250"/>
    </row>
    <row r="30" spans="1:10" ht="13.9" x14ac:dyDescent="0.4">
      <c r="A30" s="190">
        <v>27</v>
      </c>
      <c r="B30" s="200" t="s">
        <v>545</v>
      </c>
      <c r="C30" s="137" t="s">
        <v>546</v>
      </c>
      <c r="D30" s="137" t="s">
        <v>547</v>
      </c>
      <c r="H30" s="250"/>
      <c r="I30" s="250"/>
      <c r="J30" s="250"/>
    </row>
    <row r="31" spans="1:10" ht="13.9" x14ac:dyDescent="0.4">
      <c r="H31" s="250"/>
      <c r="I31" s="250"/>
      <c r="J31" s="250"/>
    </row>
    <row r="32" spans="1:10" ht="13.9" x14ac:dyDescent="0.4">
      <c r="H32" s="250"/>
      <c r="I32" s="250"/>
      <c r="J32" s="250"/>
    </row>
    <row r="33" spans="1:10" ht="13.9" x14ac:dyDescent="0.4">
      <c r="A33" s="318" t="s">
        <v>243</v>
      </c>
      <c r="B33" s="318"/>
      <c r="C33" s="318"/>
      <c r="D33" s="318"/>
      <c r="H33" s="250"/>
      <c r="I33" s="250"/>
      <c r="J33" s="250"/>
    </row>
    <row r="34" spans="1:10" ht="30" customHeight="1" x14ac:dyDescent="0.35">
      <c r="A34" s="319"/>
      <c r="B34" s="319"/>
      <c r="C34" s="319"/>
      <c r="D34" s="319"/>
    </row>
    <row r="35" spans="1:10" ht="25.5" x14ac:dyDescent="0.35">
      <c r="A35" s="68" t="s">
        <v>1</v>
      </c>
      <c r="B35" s="68" t="s">
        <v>181</v>
      </c>
      <c r="C35" s="68" t="s">
        <v>3</v>
      </c>
      <c r="D35" s="68" t="s">
        <v>72</v>
      </c>
    </row>
    <row r="36" spans="1:10" x14ac:dyDescent="0.35">
      <c r="A36" s="71">
        <v>1</v>
      </c>
      <c r="B36" s="71" t="s">
        <v>183</v>
      </c>
      <c r="C36" s="71" t="s">
        <v>184</v>
      </c>
      <c r="D36" s="71" t="s">
        <v>263</v>
      </c>
    </row>
    <row r="37" spans="1:10" ht="15" customHeight="1" x14ac:dyDescent="0.35">
      <c r="A37" s="71">
        <v>2</v>
      </c>
      <c r="B37" s="71" t="s">
        <v>269</v>
      </c>
      <c r="C37" s="71" t="s">
        <v>270</v>
      </c>
      <c r="D37" s="71"/>
    </row>
    <row r="38" spans="1:10" x14ac:dyDescent="0.35">
      <c r="A38" s="71">
        <v>3</v>
      </c>
      <c r="B38" s="71" t="s">
        <v>189</v>
      </c>
      <c r="C38" s="71" t="s">
        <v>279</v>
      </c>
      <c r="D38" s="163" t="s">
        <v>280</v>
      </c>
    </row>
    <row r="39" spans="1:10" ht="13.9" x14ac:dyDescent="0.4">
      <c r="A39" s="67">
        <v>4</v>
      </c>
      <c r="B39" s="67" t="s">
        <v>192</v>
      </c>
      <c r="C39" s="67" t="s">
        <v>287</v>
      </c>
      <c r="D39" s="164" t="s">
        <v>548</v>
      </c>
    </row>
    <row r="40" spans="1:10" ht="26.25" x14ac:dyDescent="0.35">
      <c r="A40" s="165">
        <v>5</v>
      </c>
      <c r="B40" s="165" t="s">
        <v>92</v>
      </c>
      <c r="C40" s="165" t="s">
        <v>296</v>
      </c>
      <c r="D40" s="166" t="s">
        <v>297</v>
      </c>
    </row>
    <row r="41" spans="1:10" x14ac:dyDescent="0.35">
      <c r="A41" s="108">
        <v>6</v>
      </c>
      <c r="B41" s="108" t="s">
        <v>95</v>
      </c>
      <c r="C41" s="108" t="s">
        <v>304</v>
      </c>
      <c r="D41" s="162" t="s">
        <v>305</v>
      </c>
    </row>
    <row r="42" spans="1:10" ht="25.5" customHeight="1" x14ac:dyDescent="0.35">
      <c r="A42" s="108">
        <v>7</v>
      </c>
      <c r="B42" s="108" t="s">
        <v>101</v>
      </c>
      <c r="C42" s="108" t="s">
        <v>314</v>
      </c>
      <c r="D42" s="169" t="s">
        <v>315</v>
      </c>
    </row>
    <row r="43" spans="1:10" ht="13.9" x14ac:dyDescent="0.4">
      <c r="A43" s="108">
        <v>8</v>
      </c>
      <c r="B43" s="108" t="s">
        <v>202</v>
      </c>
      <c r="C43" s="168" t="s">
        <v>59</v>
      </c>
      <c r="D43" s="67"/>
    </row>
    <row r="44" spans="1:10" x14ac:dyDescent="0.35">
      <c r="A44" s="108">
        <v>9</v>
      </c>
      <c r="B44" s="108" t="s">
        <v>86</v>
      </c>
      <c r="C44" s="108" t="s">
        <v>332</v>
      </c>
      <c r="D44" s="166" t="s">
        <v>333</v>
      </c>
    </row>
    <row r="45" spans="1:10" ht="38.25" customHeight="1" x14ac:dyDescent="0.35">
      <c r="A45" s="108">
        <v>10</v>
      </c>
      <c r="B45" s="108" t="s">
        <v>214</v>
      </c>
      <c r="C45" s="108" t="s">
        <v>342</v>
      </c>
      <c r="D45" s="108" t="s">
        <v>343</v>
      </c>
    </row>
    <row r="46" spans="1:10" ht="38.25" customHeight="1" x14ac:dyDescent="0.35">
      <c r="A46" s="108">
        <v>11</v>
      </c>
      <c r="B46" s="108" t="s">
        <v>351</v>
      </c>
      <c r="C46" s="108" t="s">
        <v>352</v>
      </c>
      <c r="D46" s="170"/>
    </row>
    <row r="47" spans="1:10" ht="13.9" x14ac:dyDescent="0.4">
      <c r="A47" s="108">
        <v>12</v>
      </c>
      <c r="B47" s="108" t="s">
        <v>217</v>
      </c>
      <c r="C47" s="168" t="s">
        <v>362</v>
      </c>
      <c r="D47" s="67"/>
    </row>
    <row r="48" spans="1:10" ht="39.4" x14ac:dyDescent="0.4">
      <c r="A48" s="46">
        <v>13</v>
      </c>
      <c r="B48" s="46" t="s">
        <v>219</v>
      </c>
      <c r="C48" s="46" t="s">
        <v>370</v>
      </c>
      <c r="D48" s="165" t="s">
        <v>371</v>
      </c>
    </row>
    <row r="49" spans="1:4" ht="13.9" x14ac:dyDescent="0.4">
      <c r="A49" s="167">
        <v>14</v>
      </c>
      <c r="B49" s="167" t="s">
        <v>380</v>
      </c>
      <c r="C49" s="167" t="s">
        <v>381</v>
      </c>
      <c r="D49" s="167"/>
    </row>
    <row r="50" spans="1:4" ht="13.9" x14ac:dyDescent="0.4">
      <c r="A50" s="67">
        <v>15</v>
      </c>
      <c r="B50" s="67" t="s">
        <v>390</v>
      </c>
      <c r="C50" s="67" t="s">
        <v>391</v>
      </c>
      <c r="D50" s="67"/>
    </row>
    <row r="53" spans="1:4" ht="33.75" customHeight="1" x14ac:dyDescent="0.35">
      <c r="A53" s="320" t="s">
        <v>549</v>
      </c>
      <c r="B53" s="321"/>
      <c r="C53" s="322"/>
    </row>
    <row r="54" spans="1:4" x14ac:dyDescent="0.35">
      <c r="A54" s="175" t="s">
        <v>1</v>
      </c>
      <c r="B54" s="176" t="s">
        <v>181</v>
      </c>
      <c r="C54" s="177" t="s">
        <v>3</v>
      </c>
    </row>
    <row r="55" spans="1:4" ht="13.9" x14ac:dyDescent="0.4">
      <c r="A55" s="61">
        <v>1</v>
      </c>
      <c r="B55" s="67" t="s">
        <v>425</v>
      </c>
      <c r="C55" s="172" t="s">
        <v>261</v>
      </c>
    </row>
    <row r="56" spans="1:4" ht="13.9" x14ac:dyDescent="0.4">
      <c r="A56" s="58">
        <v>2</v>
      </c>
      <c r="B56" s="67" t="s">
        <v>426</v>
      </c>
      <c r="C56" s="173" t="s">
        <v>254</v>
      </c>
    </row>
    <row r="57" spans="1:4" x14ac:dyDescent="0.35">
      <c r="A57" s="213">
        <v>3</v>
      </c>
      <c r="B57" s="137" t="s">
        <v>550</v>
      </c>
      <c r="C57" s="137" t="s">
        <v>551</v>
      </c>
    </row>
  </sheetData>
  <mergeCells count="8">
    <mergeCell ref="A33:D34"/>
    <mergeCell ref="H2:K2"/>
    <mergeCell ref="A53:C53"/>
    <mergeCell ref="H11:H15"/>
    <mergeCell ref="I11:I15"/>
    <mergeCell ref="J11:J15"/>
    <mergeCell ref="K11:K15"/>
    <mergeCell ref="A2:D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5F9F-C1A5-42AA-900A-3ED013A7895B}">
  <sheetPr>
    <tabColor theme="0"/>
  </sheetPr>
  <dimension ref="A1:K37"/>
  <sheetViews>
    <sheetView zoomScale="70" zoomScaleNormal="70" workbookViewId="0">
      <selection activeCell="K7" sqref="K7"/>
    </sheetView>
  </sheetViews>
  <sheetFormatPr defaultRowHeight="13.5" x14ac:dyDescent="0.35"/>
  <cols>
    <col min="2" max="2" width="17.4375" customWidth="1"/>
    <col min="3" max="3" width="33.4375" customWidth="1"/>
    <col min="4" max="4" width="24.4375" bestFit="1" customWidth="1"/>
    <col min="7" max="7" width="28.875" customWidth="1"/>
    <col min="8" max="8" width="31.125" bestFit="1" customWidth="1"/>
    <col min="9" max="9" width="53.5625" bestFit="1" customWidth="1"/>
    <col min="10" max="10" width="38.3125" customWidth="1"/>
    <col min="11" max="11" width="29.6875" customWidth="1"/>
  </cols>
  <sheetData>
    <row r="1" spans="1:11" ht="41.1" customHeight="1" x14ac:dyDescent="0.35">
      <c r="A1" s="338" t="s">
        <v>552</v>
      </c>
      <c r="B1" s="338"/>
      <c r="C1" s="338"/>
      <c r="D1" s="338"/>
      <c r="G1" s="348" t="s">
        <v>553</v>
      </c>
      <c r="H1" s="348"/>
      <c r="I1" s="348"/>
      <c r="J1" s="97"/>
    </row>
    <row r="2" spans="1:11" x14ac:dyDescent="0.35">
      <c r="A2" s="156" t="s">
        <v>1</v>
      </c>
      <c r="B2" s="157" t="s">
        <v>181</v>
      </c>
      <c r="C2" s="158" t="s">
        <v>3</v>
      </c>
      <c r="D2" s="159" t="s">
        <v>119</v>
      </c>
      <c r="G2" s="74" t="s">
        <v>1</v>
      </c>
      <c r="H2" s="121" t="s">
        <v>3</v>
      </c>
      <c r="I2" s="97" t="s">
        <v>554</v>
      </c>
      <c r="J2" s="97" t="s">
        <v>555</v>
      </c>
    </row>
    <row r="3" spans="1:11" ht="13.9" x14ac:dyDescent="0.4">
      <c r="A3" s="75">
        <v>1</v>
      </c>
      <c r="B3" s="93" t="s">
        <v>556</v>
      </c>
      <c r="C3" s="94" t="s">
        <v>254</v>
      </c>
      <c r="D3" s="93"/>
      <c r="G3" s="118">
        <v>1</v>
      </c>
      <c r="H3" s="119" t="s">
        <v>254</v>
      </c>
      <c r="I3" s="120" t="s">
        <v>557</v>
      </c>
      <c r="J3" s="93"/>
    </row>
    <row r="4" spans="1:11" ht="13.9" x14ac:dyDescent="0.4">
      <c r="A4" s="76">
        <v>2</v>
      </c>
      <c r="B4" s="46" t="s">
        <v>558</v>
      </c>
      <c r="C4" s="62" t="s">
        <v>428</v>
      </c>
      <c r="D4" s="46"/>
      <c r="G4" s="116">
        <v>2</v>
      </c>
      <c r="H4" s="84" t="s">
        <v>227</v>
      </c>
      <c r="I4" s="117">
        <v>45463</v>
      </c>
      <c r="J4" s="46"/>
    </row>
    <row r="5" spans="1:11" ht="13.9" x14ac:dyDescent="0.4">
      <c r="A5" s="76">
        <v>3</v>
      </c>
      <c r="B5" s="46" t="s">
        <v>559</v>
      </c>
      <c r="C5" s="91" t="s">
        <v>560</v>
      </c>
      <c r="D5" s="46"/>
      <c r="G5" s="116">
        <v>3</v>
      </c>
      <c r="H5" s="115" t="s">
        <v>551</v>
      </c>
      <c r="I5" s="112">
        <v>45432</v>
      </c>
      <c r="J5" s="46"/>
    </row>
    <row r="6" spans="1:11" ht="13.9" x14ac:dyDescent="0.4">
      <c r="A6" s="76">
        <v>4</v>
      </c>
      <c r="B6" s="46" t="s">
        <v>259</v>
      </c>
      <c r="C6" s="91" t="s">
        <v>430</v>
      </c>
      <c r="D6" s="46"/>
      <c r="G6" s="118">
        <v>4</v>
      </c>
      <c r="H6" s="115" t="s">
        <v>561</v>
      </c>
      <c r="I6" s="122">
        <v>1</v>
      </c>
      <c r="J6" s="46" t="s">
        <v>562</v>
      </c>
    </row>
    <row r="7" spans="1:11" ht="33" customHeight="1" x14ac:dyDescent="0.4">
      <c r="A7" s="76">
        <v>5</v>
      </c>
      <c r="B7" s="46" t="s">
        <v>563</v>
      </c>
      <c r="C7" s="91" t="s">
        <v>432</v>
      </c>
      <c r="D7" s="46"/>
      <c r="G7" s="116">
        <v>5</v>
      </c>
      <c r="H7" s="115" t="s">
        <v>564</v>
      </c>
      <c r="I7" s="113">
        <v>45000000</v>
      </c>
      <c r="J7" s="46" t="s">
        <v>565</v>
      </c>
      <c r="K7" s="136" t="s">
        <v>371</v>
      </c>
    </row>
    <row r="8" spans="1:11" ht="13.9" x14ac:dyDescent="0.4">
      <c r="A8" s="76">
        <v>6</v>
      </c>
      <c r="B8" s="46" t="s">
        <v>566</v>
      </c>
      <c r="C8" s="91" t="s">
        <v>567</v>
      </c>
      <c r="D8" s="46"/>
      <c r="G8" s="116">
        <v>6</v>
      </c>
      <c r="H8" s="115" t="s">
        <v>568</v>
      </c>
      <c r="I8" s="113">
        <v>30000000</v>
      </c>
      <c r="J8" s="46"/>
    </row>
    <row r="9" spans="1:11" ht="13.9" x14ac:dyDescent="0.4">
      <c r="A9" s="76">
        <v>7</v>
      </c>
      <c r="B9" s="46" t="s">
        <v>569</v>
      </c>
      <c r="C9" s="91" t="s">
        <v>570</v>
      </c>
      <c r="D9" s="46"/>
    </row>
    <row r="10" spans="1:11" ht="13.9" x14ac:dyDescent="0.4">
      <c r="A10" s="76">
        <v>8</v>
      </c>
      <c r="B10" s="46" t="s">
        <v>571</v>
      </c>
      <c r="C10" s="91" t="s">
        <v>572</v>
      </c>
      <c r="D10" s="46"/>
    </row>
    <row r="13" spans="1:11" ht="51" customHeight="1" x14ac:dyDescent="0.4">
      <c r="A13" s="346" t="s">
        <v>573</v>
      </c>
      <c r="B13" s="347"/>
      <c r="C13" s="347"/>
      <c r="D13" s="347"/>
      <c r="G13" s="349" t="s">
        <v>574</v>
      </c>
      <c r="H13" s="350"/>
      <c r="I13" s="350"/>
      <c r="J13" s="350"/>
      <c r="K13" s="350"/>
    </row>
    <row r="14" spans="1:11" ht="14.45" customHeight="1" x14ac:dyDescent="0.4">
      <c r="A14" s="160" t="s">
        <v>1</v>
      </c>
      <c r="B14" s="157" t="s">
        <v>181</v>
      </c>
      <c r="C14" s="161" t="s">
        <v>3</v>
      </c>
      <c r="D14" s="161" t="s">
        <v>119</v>
      </c>
      <c r="G14" s="92" t="s">
        <v>71</v>
      </c>
      <c r="H14" s="105" t="s">
        <v>3</v>
      </c>
      <c r="I14" s="92" t="s">
        <v>3</v>
      </c>
      <c r="J14" s="146" t="s">
        <v>72</v>
      </c>
      <c r="K14" s="146" t="s">
        <v>515</v>
      </c>
    </row>
    <row r="15" spans="1:11" ht="13.9" x14ac:dyDescent="0.4">
      <c r="A15" s="85">
        <v>1</v>
      </c>
      <c r="B15" s="102" t="s">
        <v>252</v>
      </c>
      <c r="C15" s="103" t="s">
        <v>254</v>
      </c>
      <c r="D15" s="102"/>
      <c r="G15" s="102" t="s">
        <v>252</v>
      </c>
      <c r="H15" s="104" t="s">
        <v>254</v>
      </c>
      <c r="I15" s="142"/>
      <c r="J15" s="137"/>
      <c r="K15" s="137"/>
    </row>
    <row r="16" spans="1:11" ht="27" x14ac:dyDescent="0.4">
      <c r="A16" s="87">
        <v>2</v>
      </c>
      <c r="B16" s="86" t="s">
        <v>575</v>
      </c>
      <c r="C16" s="83" t="s">
        <v>576</v>
      </c>
      <c r="D16" s="86"/>
      <c r="G16" s="86" t="s">
        <v>516</v>
      </c>
      <c r="H16" s="106" t="s">
        <v>517</v>
      </c>
      <c r="I16" s="143"/>
      <c r="J16" s="138" t="s">
        <v>577</v>
      </c>
      <c r="K16" s="137"/>
    </row>
    <row r="17" spans="1:11" ht="57.75" customHeight="1" x14ac:dyDescent="0.4">
      <c r="A17" s="87">
        <v>3</v>
      </c>
      <c r="B17" s="86" t="s">
        <v>578</v>
      </c>
      <c r="C17" s="83" t="s">
        <v>579</v>
      </c>
      <c r="D17" s="86"/>
      <c r="G17" s="86" t="s">
        <v>519</v>
      </c>
      <c r="H17" s="106" t="s">
        <v>231</v>
      </c>
      <c r="I17" s="144" t="s">
        <v>580</v>
      </c>
      <c r="J17" s="139" t="s">
        <v>521</v>
      </c>
      <c r="K17" s="140" t="s">
        <v>581</v>
      </c>
    </row>
    <row r="18" spans="1:11" ht="13.9" x14ac:dyDescent="0.4">
      <c r="A18" s="85">
        <v>4</v>
      </c>
      <c r="B18" s="86" t="s">
        <v>582</v>
      </c>
      <c r="C18" s="83" t="s">
        <v>250</v>
      </c>
      <c r="D18" s="86"/>
      <c r="G18" s="86" t="s">
        <v>523</v>
      </c>
      <c r="H18" s="106" t="s">
        <v>234</v>
      </c>
      <c r="I18" s="144" t="s">
        <v>583</v>
      </c>
      <c r="J18" s="139" t="s">
        <v>584</v>
      </c>
      <c r="K18" s="137"/>
    </row>
    <row r="19" spans="1:11" ht="71.25" x14ac:dyDescent="0.45">
      <c r="A19" s="87">
        <v>5</v>
      </c>
      <c r="B19" s="86" t="s">
        <v>585</v>
      </c>
      <c r="C19" s="83" t="s">
        <v>586</v>
      </c>
      <c r="D19" s="86"/>
      <c r="G19" s="86" t="s">
        <v>526</v>
      </c>
      <c r="H19" s="106" t="s">
        <v>237</v>
      </c>
      <c r="I19" s="144" t="s">
        <v>587</v>
      </c>
      <c r="J19" s="138" t="s">
        <v>588</v>
      </c>
      <c r="K19" s="251" t="s">
        <v>589</v>
      </c>
    </row>
    <row r="20" spans="1:11" ht="14.25" x14ac:dyDescent="0.45">
      <c r="A20" s="87">
        <v>6</v>
      </c>
      <c r="B20" s="86" t="s">
        <v>259</v>
      </c>
      <c r="C20" s="83" t="s">
        <v>590</v>
      </c>
      <c r="D20" s="86"/>
      <c r="G20" s="86" t="s">
        <v>530</v>
      </c>
      <c r="H20" s="106" t="s">
        <v>591</v>
      </c>
      <c r="I20" s="144" t="s">
        <v>592</v>
      </c>
      <c r="J20" s="139" t="s">
        <v>532</v>
      </c>
      <c r="K20" s="141"/>
    </row>
    <row r="21" spans="1:11" ht="30" customHeight="1" x14ac:dyDescent="0.4">
      <c r="A21" s="85">
        <v>7</v>
      </c>
      <c r="B21" s="86" t="s">
        <v>593</v>
      </c>
      <c r="C21" s="83" t="s">
        <v>394</v>
      </c>
      <c r="D21" s="86"/>
      <c r="G21" s="107" t="s">
        <v>534</v>
      </c>
      <c r="H21" s="107" t="s">
        <v>535</v>
      </c>
      <c r="I21" s="145"/>
      <c r="J21" s="138" t="s">
        <v>594</v>
      </c>
      <c r="K21" s="137"/>
    </row>
    <row r="22" spans="1:11" ht="13.9" x14ac:dyDescent="0.4">
      <c r="A22" s="87">
        <v>8</v>
      </c>
      <c r="B22" s="86" t="s">
        <v>595</v>
      </c>
      <c r="C22" s="83" t="s">
        <v>596</v>
      </c>
      <c r="D22" s="86"/>
      <c r="G22" s="339" t="s">
        <v>537</v>
      </c>
      <c r="H22" s="342" t="s">
        <v>538</v>
      </c>
      <c r="I22" s="343" t="s">
        <v>240</v>
      </c>
      <c r="J22" s="351"/>
      <c r="K22" s="351"/>
    </row>
    <row r="23" spans="1:11" ht="14.45" customHeight="1" x14ac:dyDescent="0.4">
      <c r="A23" s="87">
        <v>9</v>
      </c>
      <c r="B23" s="86" t="s">
        <v>597</v>
      </c>
      <c r="C23" s="83" t="s">
        <v>598</v>
      </c>
      <c r="D23" s="86"/>
      <c r="G23" s="340"/>
      <c r="H23" s="340"/>
      <c r="I23" s="344"/>
      <c r="J23" s="352"/>
      <c r="K23" s="352"/>
    </row>
    <row r="24" spans="1:11" ht="13.9" x14ac:dyDescent="0.4">
      <c r="A24" s="85">
        <v>10</v>
      </c>
      <c r="B24" s="86" t="s">
        <v>599</v>
      </c>
      <c r="C24" s="82" t="s">
        <v>600</v>
      </c>
      <c r="D24" s="86" t="s">
        <v>601</v>
      </c>
      <c r="G24" s="340"/>
      <c r="H24" s="340"/>
      <c r="I24" s="344"/>
      <c r="J24" s="352"/>
      <c r="K24" s="352"/>
    </row>
    <row r="25" spans="1:11" ht="13.9" x14ac:dyDescent="0.4">
      <c r="A25" s="87">
        <v>11</v>
      </c>
      <c r="B25" s="86" t="s">
        <v>602</v>
      </c>
      <c r="C25" s="82" t="s">
        <v>373</v>
      </c>
      <c r="D25" s="88" t="s">
        <v>374</v>
      </c>
      <c r="G25" s="340"/>
      <c r="H25" s="340"/>
      <c r="I25" s="344"/>
      <c r="J25" s="352"/>
      <c r="K25" s="352"/>
    </row>
    <row r="26" spans="1:11" ht="13.9" x14ac:dyDescent="0.4">
      <c r="A26" s="87">
        <v>12</v>
      </c>
      <c r="B26" s="86" t="s">
        <v>603</v>
      </c>
      <c r="C26" s="82" t="s">
        <v>604</v>
      </c>
      <c r="D26" s="86"/>
      <c r="G26" s="341"/>
      <c r="H26" s="341"/>
      <c r="I26" s="345"/>
      <c r="J26" s="353"/>
      <c r="K26" s="353"/>
    </row>
    <row r="27" spans="1:11" ht="13.9" x14ac:dyDescent="0.4">
      <c r="A27" s="85">
        <v>13</v>
      </c>
      <c r="B27" s="86" t="s">
        <v>605</v>
      </c>
      <c r="C27" s="82" t="s">
        <v>606</v>
      </c>
      <c r="D27" s="86"/>
    </row>
    <row r="28" spans="1:11" ht="13.9" x14ac:dyDescent="0.4">
      <c r="A28" s="87">
        <v>14</v>
      </c>
      <c r="B28" s="86" t="s">
        <v>607</v>
      </c>
      <c r="C28" s="82" t="s">
        <v>608</v>
      </c>
      <c r="D28" s="86"/>
    </row>
    <row r="29" spans="1:11" ht="13.9" x14ac:dyDescent="0.4">
      <c r="A29" s="87">
        <v>15</v>
      </c>
      <c r="B29" s="86" t="s">
        <v>609</v>
      </c>
      <c r="C29" s="82" t="s">
        <v>610</v>
      </c>
      <c r="D29" s="86"/>
    </row>
    <row r="30" spans="1:11" ht="13.9" x14ac:dyDescent="0.4">
      <c r="A30" s="87">
        <v>16</v>
      </c>
      <c r="B30" s="86" t="s">
        <v>611</v>
      </c>
      <c r="C30" s="82" t="s">
        <v>413</v>
      </c>
      <c r="D30" s="86"/>
    </row>
    <row r="31" spans="1:11" ht="13.9" x14ac:dyDescent="0.4">
      <c r="A31" s="87">
        <v>17</v>
      </c>
      <c r="B31" s="86" t="s">
        <v>612</v>
      </c>
      <c r="C31" s="82" t="s">
        <v>613</v>
      </c>
      <c r="D31" s="86"/>
    </row>
    <row r="32" spans="1:11" ht="13.9" x14ac:dyDescent="0.4">
      <c r="A32" s="87">
        <v>18</v>
      </c>
      <c r="B32" s="86" t="s">
        <v>566</v>
      </c>
      <c r="C32" s="82" t="s">
        <v>614</v>
      </c>
      <c r="D32" s="86"/>
    </row>
    <row r="33" spans="1:4" ht="13.9" x14ac:dyDescent="0.4">
      <c r="A33" s="87">
        <v>19</v>
      </c>
      <c r="B33" s="86" t="s">
        <v>615</v>
      </c>
      <c r="C33" s="82" t="s">
        <v>325</v>
      </c>
      <c r="D33" s="86"/>
    </row>
    <row r="34" spans="1:4" ht="13.9" x14ac:dyDescent="0.4">
      <c r="A34" s="87">
        <v>20</v>
      </c>
      <c r="B34" s="86" t="s">
        <v>616</v>
      </c>
      <c r="C34" s="83" t="s">
        <v>403</v>
      </c>
      <c r="D34" s="86"/>
    </row>
    <row r="35" spans="1:4" ht="13.9" x14ac:dyDescent="0.4">
      <c r="A35" s="87">
        <v>21</v>
      </c>
      <c r="B35" s="86" t="s">
        <v>617</v>
      </c>
      <c r="C35" s="82" t="s">
        <v>618</v>
      </c>
      <c r="D35" s="86"/>
    </row>
    <row r="36" spans="1:4" ht="13.9" x14ac:dyDescent="0.4">
      <c r="A36" s="87">
        <v>22</v>
      </c>
      <c r="B36" s="86" t="s">
        <v>619</v>
      </c>
      <c r="C36" s="82" t="s">
        <v>620</v>
      </c>
      <c r="D36" s="86"/>
    </row>
    <row r="37" spans="1:4" ht="13.9" x14ac:dyDescent="0.4">
      <c r="A37" s="87">
        <v>23</v>
      </c>
      <c r="B37" s="86" t="s">
        <v>621</v>
      </c>
      <c r="C37" s="82" t="s">
        <v>423</v>
      </c>
      <c r="D37" s="86"/>
    </row>
  </sheetData>
  <mergeCells count="9">
    <mergeCell ref="A1:D1"/>
    <mergeCell ref="G22:G26"/>
    <mergeCell ref="H22:H26"/>
    <mergeCell ref="I22:I26"/>
    <mergeCell ref="A13:D13"/>
    <mergeCell ref="G1:I1"/>
    <mergeCell ref="G13:K13"/>
    <mergeCell ref="J22:J26"/>
    <mergeCell ref="K22:K2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9324-9C3A-4648-9F36-B46BCC5C1B26}">
  <dimension ref="A1:C20"/>
  <sheetViews>
    <sheetView workbookViewId="0">
      <selection activeCell="F11" sqref="F11"/>
    </sheetView>
  </sheetViews>
  <sheetFormatPr defaultRowHeight="13.5" x14ac:dyDescent="0.35"/>
  <cols>
    <col min="1" max="1" width="31.125" bestFit="1" customWidth="1"/>
    <col min="2" max="2" width="41.125" customWidth="1"/>
    <col min="3" max="3" width="52.4375" bestFit="1" customWidth="1"/>
  </cols>
  <sheetData>
    <row r="1" spans="1:3" x14ac:dyDescent="0.35">
      <c r="A1" s="354" t="s">
        <v>622</v>
      </c>
      <c r="B1" s="354"/>
      <c r="C1" s="354"/>
    </row>
    <row r="2" spans="1:3" x14ac:dyDescent="0.35">
      <c r="A2" s="45" t="s">
        <v>2</v>
      </c>
      <c r="B2" s="45" t="s">
        <v>72</v>
      </c>
      <c r="C2" s="45" t="s">
        <v>623</v>
      </c>
    </row>
    <row r="3" spans="1:3" ht="13.9" x14ac:dyDescent="0.4">
      <c r="A3" s="46" t="s">
        <v>517</v>
      </c>
      <c r="B3" s="47"/>
      <c r="C3" s="47"/>
    </row>
    <row r="4" spans="1:3" ht="13.9" x14ac:dyDescent="0.4">
      <c r="A4" s="46" t="s">
        <v>231</v>
      </c>
      <c r="B4" s="48" t="s">
        <v>580</v>
      </c>
      <c r="C4" s="46" t="s">
        <v>624</v>
      </c>
    </row>
    <row r="5" spans="1:3" ht="13.9" x14ac:dyDescent="0.4">
      <c r="A5" s="46" t="s">
        <v>234</v>
      </c>
      <c r="B5" s="48" t="s">
        <v>625</v>
      </c>
      <c r="C5" s="46" t="s">
        <v>626</v>
      </c>
    </row>
    <row r="6" spans="1:3" ht="13.9" x14ac:dyDescent="0.4">
      <c r="A6" s="46" t="s">
        <v>237</v>
      </c>
      <c r="B6" s="48" t="s">
        <v>627</v>
      </c>
      <c r="C6" s="46" t="s">
        <v>628</v>
      </c>
    </row>
    <row r="7" spans="1:3" ht="13.9" x14ac:dyDescent="0.4">
      <c r="A7" s="46" t="s">
        <v>629</v>
      </c>
      <c r="B7" s="47"/>
      <c r="C7" s="47"/>
    </row>
    <row r="8" spans="1:3" ht="55.5" x14ac:dyDescent="0.4">
      <c r="A8" s="46" t="s">
        <v>630</v>
      </c>
      <c r="B8" s="47"/>
      <c r="C8" s="49" t="s">
        <v>631</v>
      </c>
    </row>
    <row r="9" spans="1:3" ht="13.9" x14ac:dyDescent="0.4">
      <c r="A9" s="46" t="s">
        <v>632</v>
      </c>
      <c r="B9" s="47"/>
      <c r="C9" s="47"/>
    </row>
    <row r="11" spans="1:3" x14ac:dyDescent="0.35">
      <c r="A11" s="354" t="s">
        <v>220</v>
      </c>
      <c r="B11" s="354"/>
      <c r="C11" s="354"/>
    </row>
    <row r="12" spans="1:3" ht="46.5" customHeight="1" x14ac:dyDescent="0.4">
      <c r="A12" s="362" t="s">
        <v>633</v>
      </c>
      <c r="B12" s="363"/>
      <c r="C12" s="364"/>
    </row>
    <row r="13" spans="1:3" ht="48" customHeight="1" x14ac:dyDescent="0.4">
      <c r="A13" s="355" t="s">
        <v>634</v>
      </c>
      <c r="B13" s="356"/>
      <c r="C13" s="356"/>
    </row>
    <row r="14" spans="1:3" ht="13.9" x14ac:dyDescent="0.4">
      <c r="A14" s="357"/>
      <c r="B14" s="358"/>
      <c r="C14" s="358"/>
    </row>
    <row r="15" spans="1:3" ht="12.6" customHeight="1" x14ac:dyDescent="0.4">
      <c r="A15" s="50"/>
    </row>
    <row r="17" spans="1:2" ht="13.9" x14ac:dyDescent="0.4">
      <c r="A17" s="359" t="s">
        <v>635</v>
      </c>
      <c r="B17" s="46" t="s">
        <v>636</v>
      </c>
    </row>
    <row r="18" spans="1:2" ht="13.9" x14ac:dyDescent="0.4">
      <c r="A18" s="360"/>
      <c r="B18" s="46" t="s">
        <v>637</v>
      </c>
    </row>
    <row r="19" spans="1:2" ht="13.9" x14ac:dyDescent="0.4">
      <c r="A19" s="360"/>
      <c r="B19" s="46" t="s">
        <v>638</v>
      </c>
    </row>
    <row r="20" spans="1:2" ht="13.9" x14ac:dyDescent="0.4">
      <c r="A20" s="361"/>
      <c r="B20" s="46" t="s">
        <v>639</v>
      </c>
    </row>
  </sheetData>
  <mergeCells count="6">
    <mergeCell ref="A1:C1"/>
    <mergeCell ref="A11:C11"/>
    <mergeCell ref="A13:C13"/>
    <mergeCell ref="A14:C14"/>
    <mergeCell ref="A17:A20"/>
    <mergeCell ref="A12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824F-0C18-4ED0-AEB1-38988D450000}">
  <dimension ref="A1:A36"/>
  <sheetViews>
    <sheetView workbookViewId="0">
      <selection activeCell="A31" sqref="A31"/>
    </sheetView>
  </sheetViews>
  <sheetFormatPr defaultRowHeight="13.5" x14ac:dyDescent="0.35"/>
  <sheetData>
    <row r="1" spans="1:1" x14ac:dyDescent="0.35">
      <c r="A1" t="s">
        <v>640</v>
      </c>
    </row>
    <row r="2" spans="1:1" x14ac:dyDescent="0.35">
      <c r="A2" t="s">
        <v>641</v>
      </c>
    </row>
    <row r="3" spans="1:1" x14ac:dyDescent="0.35">
      <c r="A3" t="s">
        <v>642</v>
      </c>
    </row>
    <row r="4" spans="1:1" x14ac:dyDescent="0.35">
      <c r="A4" t="s">
        <v>643</v>
      </c>
    </row>
    <row r="5" spans="1:1" x14ac:dyDescent="0.35">
      <c r="A5" t="s">
        <v>644</v>
      </c>
    </row>
    <row r="6" spans="1:1" x14ac:dyDescent="0.35">
      <c r="A6" t="s">
        <v>645</v>
      </c>
    </row>
    <row r="7" spans="1:1" x14ac:dyDescent="0.35">
      <c r="A7" t="s">
        <v>646</v>
      </c>
    </row>
    <row r="8" spans="1:1" x14ac:dyDescent="0.35">
      <c r="A8" t="s">
        <v>647</v>
      </c>
    </row>
    <row r="9" spans="1:1" x14ac:dyDescent="0.35">
      <c r="A9" t="s">
        <v>648</v>
      </c>
    </row>
    <row r="10" spans="1:1" x14ac:dyDescent="0.35">
      <c r="A10" t="s">
        <v>649</v>
      </c>
    </row>
    <row r="11" spans="1:1" x14ac:dyDescent="0.35">
      <c r="A11" t="s">
        <v>650</v>
      </c>
    </row>
    <row r="12" spans="1:1" x14ac:dyDescent="0.35">
      <c r="A12" t="s">
        <v>651</v>
      </c>
    </row>
    <row r="13" spans="1:1" x14ac:dyDescent="0.35">
      <c r="A13" t="s">
        <v>652</v>
      </c>
    </row>
    <row r="14" spans="1:1" x14ac:dyDescent="0.35">
      <c r="A14" t="s">
        <v>653</v>
      </c>
    </row>
    <row r="15" spans="1:1" x14ac:dyDescent="0.35">
      <c r="A15" t="s">
        <v>654</v>
      </c>
    </row>
    <row r="16" spans="1:1" x14ac:dyDescent="0.35">
      <c r="A16" t="s">
        <v>655</v>
      </c>
    </row>
    <row r="17" spans="1:1" x14ac:dyDescent="0.35">
      <c r="A17" t="s">
        <v>656</v>
      </c>
    </row>
    <row r="18" spans="1:1" x14ac:dyDescent="0.35">
      <c r="A18" t="s">
        <v>657</v>
      </c>
    </row>
    <row r="19" spans="1:1" x14ac:dyDescent="0.35">
      <c r="A19" t="s">
        <v>658</v>
      </c>
    </row>
    <row r="20" spans="1:1" x14ac:dyDescent="0.35">
      <c r="A20" t="s">
        <v>659</v>
      </c>
    </row>
    <row r="21" spans="1:1" x14ac:dyDescent="0.35">
      <c r="A21" t="s">
        <v>660</v>
      </c>
    </row>
    <row r="22" spans="1:1" x14ac:dyDescent="0.35">
      <c r="A22" t="s">
        <v>661</v>
      </c>
    </row>
    <row r="23" spans="1:1" x14ac:dyDescent="0.35">
      <c r="A23" t="s">
        <v>662</v>
      </c>
    </row>
    <row r="24" spans="1:1" x14ac:dyDescent="0.35">
      <c r="A24" t="s">
        <v>663</v>
      </c>
    </row>
    <row r="25" spans="1:1" x14ac:dyDescent="0.35">
      <c r="A25" t="s">
        <v>664</v>
      </c>
    </row>
    <row r="26" spans="1:1" x14ac:dyDescent="0.35">
      <c r="A26" t="s">
        <v>665</v>
      </c>
    </row>
    <row r="27" spans="1:1" x14ac:dyDescent="0.35">
      <c r="A27" t="s">
        <v>666</v>
      </c>
    </row>
    <row r="28" spans="1:1" x14ac:dyDescent="0.35">
      <c r="A28" t="s">
        <v>667</v>
      </c>
    </row>
    <row r="29" spans="1:1" x14ac:dyDescent="0.35">
      <c r="A29" t="s">
        <v>668</v>
      </c>
    </row>
    <row r="30" spans="1:1" x14ac:dyDescent="0.35">
      <c r="A30" t="s">
        <v>669</v>
      </c>
    </row>
    <row r="31" spans="1:1" x14ac:dyDescent="0.35">
      <c r="A31" t="s">
        <v>670</v>
      </c>
    </row>
    <row r="32" spans="1:1" x14ac:dyDescent="0.35">
      <c r="A32" t="s">
        <v>671</v>
      </c>
    </row>
    <row r="33" spans="1:1" x14ac:dyDescent="0.35">
      <c r="A33" t="s">
        <v>672</v>
      </c>
    </row>
    <row r="34" spans="1:1" x14ac:dyDescent="0.35">
      <c r="A34" t="s">
        <v>673</v>
      </c>
    </row>
    <row r="35" spans="1:1" x14ac:dyDescent="0.35">
      <c r="A35" t="s">
        <v>674</v>
      </c>
    </row>
    <row r="36" spans="1:1" x14ac:dyDescent="0.35">
      <c r="A36" t="s">
        <v>675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42EB-99DF-41B4-A4D0-DD61EA8B6952}">
  <dimension ref="A1:D3"/>
  <sheetViews>
    <sheetView workbookViewId="0">
      <selection activeCell="F3" sqref="F3"/>
    </sheetView>
  </sheetViews>
  <sheetFormatPr defaultRowHeight="13.5" x14ac:dyDescent="0.35"/>
  <cols>
    <col min="1" max="1" width="13.4375" bestFit="1" customWidth="1"/>
    <col min="2" max="2" width="15.6875" bestFit="1" customWidth="1"/>
    <col min="3" max="3" width="15.6875" customWidth="1"/>
    <col min="4" max="4" width="11.6875" bestFit="1" customWidth="1"/>
  </cols>
  <sheetData>
    <row r="1" spans="1:4" x14ac:dyDescent="0.35">
      <c r="A1" t="s">
        <v>676</v>
      </c>
      <c r="B1">
        <v>7000</v>
      </c>
      <c r="D1" t="s">
        <v>677</v>
      </c>
    </row>
    <row r="2" spans="1:4" x14ac:dyDescent="0.35">
      <c r="A2" t="s">
        <v>678</v>
      </c>
      <c r="B2">
        <v>0.75</v>
      </c>
      <c r="C2">
        <f>B1*B2</f>
        <v>5250</v>
      </c>
      <c r="D2" t="s">
        <v>677</v>
      </c>
    </row>
    <row r="3" spans="1:4" x14ac:dyDescent="0.35">
      <c r="A3" t="s">
        <v>679</v>
      </c>
      <c r="B3">
        <v>0.25</v>
      </c>
      <c r="C3">
        <f>B1*B3</f>
        <v>1750</v>
      </c>
      <c r="D3" t="s">
        <v>677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815603-3128-4aee-956f-7cdc70044e75">
      <Terms xmlns="http://schemas.microsoft.com/office/infopath/2007/PartnerControls"/>
    </lcf76f155ced4ddcb4097134ff3c332f>
    <TaxCatchAll xmlns="6bc95d49-17e3-4d0a-929b-830fe3aa2f7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05FFA18751C0744EA482910462967CE1" ma:contentTypeVersion="13" ma:contentTypeDescription="Tạo tài liệu mới." ma:contentTypeScope="" ma:versionID="b8f533f96426a3e5c7342856ea56679a">
  <xsd:schema xmlns:xsd="http://www.w3.org/2001/XMLSchema" xmlns:xs="http://www.w3.org/2001/XMLSchema" xmlns:p="http://schemas.microsoft.com/office/2006/metadata/properties" xmlns:ns2="6bc95d49-17e3-4d0a-929b-830fe3aa2f74" xmlns:ns3="cb815603-3128-4aee-956f-7cdc70044e75" targetNamespace="http://schemas.microsoft.com/office/2006/metadata/properties" ma:root="true" ma:fieldsID="cf293357c29bacbdbfc68e31938a628c" ns2:_="" ns3:_="">
    <xsd:import namespace="6bc95d49-17e3-4d0a-929b-830fe3aa2f74"/>
    <xsd:import namespace="cb815603-3128-4aee-956f-7cdc70044e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5d49-17e3-4d0a-929b-830fe3aa2f7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61b4626-123e-4a80-8203-a9e0f94ea154}" ma:internalName="TaxCatchAll" ma:showField="CatchAllData" ma:web="6bc95d49-17e3-4d0a-929b-830fe3aa2f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15603-3128-4aee-956f-7cdc70044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fe08bad7-0531-4e50-a3a8-7b1f718b4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5F4992-2CB4-4F3A-B4A7-38088D52B718}">
  <ds:schemaRefs>
    <ds:schemaRef ds:uri="http://schemas.microsoft.com/office/2006/metadata/properties"/>
    <ds:schemaRef ds:uri="http://schemas.microsoft.com/office/infopath/2007/PartnerControls"/>
    <ds:schemaRef ds:uri="cb815603-3128-4aee-956f-7cdc70044e75"/>
    <ds:schemaRef ds:uri="6bc95d49-17e3-4d0a-929b-830fe3aa2f74"/>
  </ds:schemaRefs>
</ds:datastoreItem>
</file>

<file path=customXml/itemProps2.xml><?xml version="1.0" encoding="utf-8"?>
<ds:datastoreItem xmlns:ds="http://schemas.openxmlformats.org/officeDocument/2006/customXml" ds:itemID="{C7F92B1E-9B57-40EB-B07B-6F88EE7C1E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FF4120-2E16-40D8-A5A3-3185C2589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5d49-17e3-4d0a-929b-830fe3aa2f74"/>
    <ds:schemaRef ds:uri="cb815603-3128-4aee-956f-7cdc70044e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Thống kê dữ liệu</vt:lpstr>
      <vt:lpstr>Chấm điểm dự kiến</vt:lpstr>
      <vt:lpstr>Define công thức</vt:lpstr>
      <vt:lpstr>Quản lý KH mới</vt:lpstr>
      <vt:lpstr>Sheet1</vt:lpstr>
      <vt:lpstr>Quản lý rủi ro</vt:lpstr>
      <vt:lpstr>Quản lý KH đã đăng ký dịch vụ</vt:lpstr>
      <vt:lpstr>Tính hạn mức KH</vt:lpstr>
      <vt:lpstr>Trạng thái đơn hàng</vt:lpstr>
      <vt:lpstr>Chia sẻ DT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Khánh Quỳnh</dc:creator>
  <cp:keywords/>
  <dc:description/>
  <cp:lastModifiedBy>Luu Nguyen</cp:lastModifiedBy>
  <cp:revision/>
  <dcterms:created xsi:type="dcterms:W3CDTF">2024-03-19T07:41:58Z</dcterms:created>
  <dcterms:modified xsi:type="dcterms:W3CDTF">2026-07-01T03:17:46Z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0x01010005FFA18751C0744EA482910462967CE1</vt:lpwstr>
  </property>
  <property fmtid="{D5CDD505-2E9C-101B-9397-08002B2CF9AE}" pid="3" name="MediaServiceImageTags">
    <vt:lpwstr/>
  </property>
</Properties>
</file>