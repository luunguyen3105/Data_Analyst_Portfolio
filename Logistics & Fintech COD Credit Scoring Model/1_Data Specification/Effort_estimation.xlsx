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mc:AlternateContent xmlns:mc="http://schemas.openxmlformats.org/markup-compatibility/2006">
    <mc:Choice Requires="x15">
      <x15ac:absPath xmlns:x15ac="http://schemas.microsoft.com/office/spreadsheetml/2010/11/ac" url="https://dagoras601-my.sharepoint.com/personal/quynhnk_dagoras_io/Documents/"/>
    </mc:Choice>
  </mc:AlternateContent>
  <xr:revisionPtr revIDLastSave="86" documentId="8_{AF691844-17F0-423B-8E2B-D9AADC98E6F6}" xr6:coauthVersionLast="47" xr6:coauthVersionMax="47" xr10:uidLastSave="{324DFD78-3469-4CF0-AA00-15299843DA95}"/>
  <bookViews>
    <workbookView minimized="1" xWindow="1100" yWindow="640" windowWidth="11280" windowHeight="9780" xr2:uid="{D455CCC5-FE61-4D81-94CB-CF86358F3216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5" i="1" l="1"/>
  <c r="E25" i="1" s="1"/>
  <c r="D24" i="1"/>
  <c r="D22" i="1"/>
  <c r="D21" i="1"/>
  <c r="D20" i="1"/>
  <c r="E20" i="1" s="1"/>
  <c r="D19" i="1"/>
  <c r="D16" i="1"/>
  <c r="E16" i="1" s="1"/>
  <c r="D15" i="1"/>
  <c r="D17" i="1"/>
  <c r="E15" i="1"/>
  <c r="E22" i="1"/>
  <c r="E21" i="1"/>
  <c r="D18" i="1"/>
  <c r="E18" i="1" s="1"/>
  <c r="E17" i="1"/>
  <c r="D13" i="1"/>
  <c r="E13" i="1" s="1"/>
  <c r="D5" i="1"/>
  <c r="E5" i="1" s="1"/>
  <c r="G6" i="1" s="1"/>
  <c r="D8" i="1"/>
  <c r="E8" i="1" s="1"/>
  <c r="E19" i="1"/>
  <c r="E9" i="1"/>
  <c r="E24" i="1"/>
  <c r="D14" i="1"/>
  <c r="E14" i="1" s="1"/>
  <c r="E6" i="1"/>
  <c r="E7" i="1"/>
  <c r="E10" i="1"/>
  <c r="G14" i="1" l="1"/>
  <c r="G5" i="1"/>
  <c r="G13" i="1"/>
</calcChain>
</file>

<file path=xl/sharedStrings.xml><?xml version="1.0" encoding="utf-8"?>
<sst xmlns="http://schemas.openxmlformats.org/spreadsheetml/2006/main" count="57" uniqueCount="40">
  <si>
    <t>PROJECT: ỨNG COD VIETTEL POST</t>
  </si>
  <si>
    <t>TASK</t>
  </si>
  <si>
    <t>PIC</t>
  </si>
  <si>
    <t>Ước lượng thời gian (ngày)</t>
  </si>
  <si>
    <t>Ước lượng effort</t>
  </si>
  <si>
    <t>GIAI ĐOẠN: TRƯỚC KHI TRIỂN KHAI</t>
  </si>
  <si>
    <t>Xây dựng mô hình</t>
  </si>
  <si>
    <t>1.1</t>
  </si>
  <si>
    <t>Xây dựng rule và mô tả result_database</t>
  </si>
  <si>
    <t>DA</t>
  </si>
  <si>
    <t>Effort DE</t>
  </si>
  <si>
    <t>1.2</t>
  </si>
  <si>
    <t>Đánh giá CSDL</t>
  </si>
  <si>
    <t>Effort DA</t>
  </si>
  <si>
    <t>1.3</t>
  </si>
  <si>
    <t>Code tổng hợp từ raw_data_vtpost &gt; result_database (trên dữ liệu sample)</t>
  </si>
  <si>
    <t>DE</t>
  </si>
  <si>
    <t>1.4</t>
  </si>
  <si>
    <t>Xây dựng luồng tổng hợp từ raw_data_vtpost &gt; result_database (trên dữ liệu thực tế)</t>
  </si>
  <si>
    <t>1.5</t>
  </si>
  <si>
    <t>Kiểm thử và hoàn thiện result_database</t>
  </si>
  <si>
    <t>GIAI ĐOẠN: TRONG KHI TRIỂN KHAI</t>
  </si>
  <si>
    <t>Tối ưu</t>
  </si>
  <si>
    <t>Đo lường và đánh giá hiệu quả truyền thông</t>
  </si>
  <si>
    <t>2.1</t>
  </si>
  <si>
    <t>Tối ưu mô hình và hiệu quả truyền thông</t>
  </si>
  <si>
    <t>Effort DS</t>
  </si>
  <si>
    <t>2.2</t>
  </si>
  <si>
    <t>Đề xuất phương án tối ưu Giai đoạn 2</t>
  </si>
  <si>
    <t>DS</t>
  </si>
  <si>
    <t>2.3</t>
  </si>
  <si>
    <t>Tối ưu model phân tích</t>
  </si>
  <si>
    <t>2.4</t>
  </si>
  <si>
    <t>Thực hiện, đánh giá và tối ưu vòng 3</t>
  </si>
  <si>
    <t>2.5</t>
  </si>
  <si>
    <t>Phân tích &amp; Báo cáo</t>
  </si>
  <si>
    <t>3.1</t>
  </si>
  <si>
    <t>Xây dựng báo cáo tĩnh dưới dạng tài liệu, đưa ra khuyến nghị đề xuất.</t>
  </si>
  <si>
    <t>3.2</t>
  </si>
  <si>
    <t>Trực quan hóa dữ liệu (Báo cáo động)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</si>
</sst>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Aptos Narrow"/>
      <family val="2"/>
      <charset val="163"/>
      <scheme val="minor"/>
    </font>
    <font>
      <sz val="11"/>
      <color theme="1"/>
      <name val="Aptos Narrow"/>
      <family val="2"/>
      <charset val="163"/>
      <scheme val="minor"/>
    </font>
    <font>
      <sz val="11"/>
      <color theme="1"/>
      <name val="Arial"/>
      <family val="2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charset val="163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0" borderId="0"/>
  </cellStyleXfs>
  <cellXfs count="45">
    <xf numFmtId="0" fontId="0" fillId="0" borderId="0" xfId="0"/>
    <xf numFmtId="0" fontId="3" fillId="2" borderId="1" xfId="0" applyFont="1" applyFill="1" applyBorder="1" applyAlignment="1">
      <alignment horizontal="center" vertical="center" readingOrder="1"/>
    </xf>
    <xf numFmtId="1" fontId="3" fillId="2" borderId="1" xfId="0" applyNumberFormat="1" applyFont="1" applyFill="1" applyBorder="1" applyAlignment="1">
      <alignment horizontal="center" vertical="center" readingOrder="1"/>
    </xf>
    <xf numFmtId="1" fontId="0" fillId="0" borderId="0" xfId="0" applyNumberFormat="1" applyAlignment="1">
      <alignment horizontal="center"/>
    </xf>
    <xf numFmtId="0" fontId="7" fillId="4" borderId="8" xfId="2" applyFont="1" applyFill="1" applyBorder="1" applyAlignment="1">
      <alignment horizontal="left" vertical="center" wrapText="1"/>
    </xf>
    <xf numFmtId="0" fontId="5" fillId="0" borderId="5" xfId="0" applyFont="1" applyBorder="1" applyAlignment="1">
      <alignment vertical="center" wrapText="1" readingOrder="1"/>
    </xf>
    <xf numFmtId="0" fontId="5" fillId="4" borderId="5" xfId="0" applyFont="1" applyFill="1" applyBorder="1" applyAlignment="1">
      <alignment vertical="center" wrapText="1"/>
    </xf>
    <xf numFmtId="0" fontId="7" fillId="0" borderId="8" xfId="0" applyFont="1" applyBorder="1" applyAlignment="1">
      <alignment vertical="center" wrapText="1"/>
    </xf>
    <xf numFmtId="9" fontId="0" fillId="0" borderId="0" xfId="1" applyFont="1" applyAlignment="1">
      <alignment horizontal="center"/>
    </xf>
    <xf numFmtId="0" fontId="0" fillId="0" borderId="0" xfId="0" applyAlignment="1">
      <alignment horizontal="center"/>
    </xf>
    <xf numFmtId="0" fontId="4" fillId="3" borderId="2" xfId="0" applyFont="1" applyFill="1" applyBorder="1" applyAlignment="1">
      <alignment vertical="center"/>
    </xf>
    <xf numFmtId="0" fontId="4" fillId="3" borderId="3" xfId="0" applyFont="1" applyFill="1" applyBorder="1" applyAlignment="1">
      <alignment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vertical="center"/>
    </xf>
    <xf numFmtId="0" fontId="5" fillId="0" borderId="5" xfId="0" applyFont="1" applyBorder="1" applyAlignment="1">
      <alignment horizontal="center" vertical="center" readingOrder="1"/>
    </xf>
    <xf numFmtId="0" fontId="5" fillId="0" borderId="6" xfId="0" applyFont="1" applyBorder="1" applyAlignment="1">
      <alignment horizontal="center" vertical="center" wrapText="1" readingOrder="1"/>
    </xf>
    <xf numFmtId="0" fontId="5" fillId="0" borderId="7" xfId="0" applyFont="1" applyBorder="1" applyAlignment="1">
      <alignment vertical="center" wrapText="1" readingOrder="1"/>
    </xf>
    <xf numFmtId="0" fontId="6" fillId="0" borderId="5" xfId="0" applyFont="1" applyBorder="1" applyAlignment="1">
      <alignment horizontal="center" vertical="center" readingOrder="1"/>
    </xf>
    <xf numFmtId="0" fontId="6" fillId="0" borderId="8" xfId="0" applyFont="1" applyBorder="1" applyAlignment="1">
      <alignment vertical="center" wrapText="1" readingOrder="1"/>
    </xf>
    <xf numFmtId="0" fontId="5" fillId="0" borderId="8" xfId="0" applyFont="1" applyBorder="1" applyAlignment="1">
      <alignment horizontal="center" vertical="center" readingOrder="1"/>
    </xf>
    <xf numFmtId="1" fontId="6" fillId="0" borderId="8" xfId="0" applyNumberFormat="1" applyFont="1" applyBorder="1" applyAlignment="1">
      <alignment horizontal="center" vertical="center" readingOrder="1"/>
    </xf>
    <xf numFmtId="9" fontId="6" fillId="0" borderId="8" xfId="0" applyNumberFormat="1" applyFont="1" applyBorder="1" applyAlignment="1">
      <alignment horizontal="center" vertical="center" readingOrder="1"/>
    </xf>
    <xf numFmtId="0" fontId="5" fillId="3" borderId="5" xfId="0" applyFont="1" applyFill="1" applyBorder="1" applyAlignment="1">
      <alignment vertical="center" readingOrder="1"/>
    </xf>
    <xf numFmtId="0" fontId="5" fillId="3" borderId="6" xfId="0" applyFont="1" applyFill="1" applyBorder="1" applyAlignment="1">
      <alignment vertical="center" readingOrder="1"/>
    </xf>
    <xf numFmtId="0" fontId="5" fillId="3" borderId="6" xfId="0" applyFont="1" applyFill="1" applyBorder="1" applyAlignment="1">
      <alignment horizontal="center" vertical="center" readingOrder="1"/>
    </xf>
    <xf numFmtId="0" fontId="5" fillId="3" borderId="7" xfId="0" applyFont="1" applyFill="1" applyBorder="1" applyAlignment="1">
      <alignment vertical="center" readingOrder="1"/>
    </xf>
    <xf numFmtId="0" fontId="6" fillId="0" borderId="8" xfId="0" applyFont="1" applyBorder="1" applyAlignment="1">
      <alignment horizontal="center" vertical="center" readingOrder="1"/>
    </xf>
    <xf numFmtId="0" fontId="0" fillId="0" borderId="0" xfId="0" applyAlignment="1">
      <alignment vertical="center"/>
    </xf>
    <xf numFmtId="0" fontId="4" fillId="0" borderId="8" xfId="0" applyFont="1" applyBorder="1" applyAlignment="1">
      <alignment horizontal="center" vertical="center"/>
    </xf>
    <xf numFmtId="0" fontId="5" fillId="4" borderId="6" xfId="0" applyFont="1" applyFill="1" applyBorder="1" applyAlignment="1">
      <alignment horizontal="center" vertical="center" wrapText="1"/>
    </xf>
    <xf numFmtId="0" fontId="5" fillId="4" borderId="7" xfId="0" applyFont="1" applyFill="1" applyBorder="1" applyAlignment="1">
      <alignment vertical="center" wrapText="1"/>
    </xf>
    <xf numFmtId="0" fontId="7" fillId="0" borderId="8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4" fillId="5" borderId="8" xfId="0" applyFont="1" applyFill="1" applyBorder="1"/>
    <xf numFmtId="9" fontId="4" fillId="5" borderId="8" xfId="1" applyFont="1" applyFill="1" applyBorder="1"/>
    <xf numFmtId="0" fontId="6" fillId="0" borderId="9" xfId="0" applyFont="1" applyBorder="1" applyAlignment="1">
      <alignment horizontal="left" vertical="center" wrapText="1" readingOrder="1"/>
    </xf>
    <xf numFmtId="0" fontId="6" fillId="0" borderId="10" xfId="0" applyFont="1" applyBorder="1" applyAlignment="1">
      <alignment horizontal="left" vertical="center" wrapText="1" readingOrder="1"/>
    </xf>
    <xf numFmtId="0" fontId="6" fillId="0" borderId="9" xfId="0" applyFont="1" applyBorder="1" applyAlignment="1">
      <alignment horizontal="center" vertical="center" readingOrder="1"/>
    </xf>
    <xf numFmtId="0" fontId="6" fillId="0" borderId="10" xfId="0" applyFont="1" applyBorder="1" applyAlignment="1">
      <alignment horizontal="center" vertical="center" readingOrder="1"/>
    </xf>
    <xf numFmtId="0" fontId="3" fillId="2" borderId="1" xfId="0" applyFont="1" applyFill="1" applyBorder="1" applyAlignment="1">
      <alignment horizontal="center" vertical="center"/>
    </xf>
    <xf numFmtId="0" fontId="6" fillId="4" borderId="9" xfId="0" applyFont="1" applyFill="1" applyBorder="1" applyAlignment="1">
      <alignment horizontal="left" vertical="center" wrapText="1"/>
    </xf>
    <xf numFmtId="0" fontId="6" fillId="4" borderId="10" xfId="0" applyFont="1" applyFill="1" applyBorder="1" applyAlignment="1">
      <alignment horizontal="left" vertical="center" wrapText="1"/>
    </xf>
    <xf numFmtId="0" fontId="7" fillId="4" borderId="9" xfId="2" applyFont="1" applyFill="1" applyBorder="1" applyAlignment="1">
      <alignment horizontal="left" vertical="center" wrapText="1"/>
    </xf>
    <xf numFmtId="0" fontId="7" fillId="4" borderId="10" xfId="2" applyFont="1" applyFill="1" applyBorder="1" applyAlignment="1">
      <alignment horizontal="left" vertical="center" wrapText="1"/>
    </xf>
  </cellXfs>
  <cellStyles count="3">
    <cellStyle name="Normal" xfId="0" builtinId="0"/>
    <cellStyle name="Normal 2" xfId="2" xr:uid="{12BF8353-CF13-4D0C-9546-704618BDE689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E20665-6E6E-40DF-B1D4-2E05C5173671}">
  <dimension ref="A1:G28"/>
  <sheetViews>
    <sheetView tabSelected="1" zoomScale="46" zoomScaleNormal="90" workbookViewId="0">
      <selection activeCell="N7" sqref="N7:Q11"/>
    </sheetView>
  </sheetViews>
  <sheetFormatPr defaultRowHeight="14.45"/>
  <cols>
    <col min="2" max="2" width="44.7109375" customWidth="1"/>
    <col min="3" max="3" width="9" style="9" customWidth="1"/>
    <col min="4" max="4" width="23" style="3" bestFit="1" customWidth="1"/>
    <col min="5" max="5" width="16.85546875" bestFit="1" customWidth="1"/>
  </cols>
  <sheetData>
    <row r="1" spans="1:7">
      <c r="A1" s="40" t="s">
        <v>0</v>
      </c>
      <c r="B1" s="40"/>
      <c r="C1" s="40"/>
      <c r="D1" s="40"/>
      <c r="E1" s="40"/>
    </row>
    <row r="2" spans="1:7">
      <c r="A2" s="40" t="s">
        <v>1</v>
      </c>
      <c r="B2" s="40"/>
      <c r="C2" s="1" t="s">
        <v>2</v>
      </c>
      <c r="D2" s="2" t="s">
        <v>3</v>
      </c>
      <c r="E2" s="1" t="s">
        <v>4</v>
      </c>
    </row>
    <row r="3" spans="1:7" ht="24.6" customHeight="1">
      <c r="A3" s="10" t="s">
        <v>5</v>
      </c>
      <c r="B3" s="11"/>
      <c r="C3" s="12"/>
      <c r="D3" s="12"/>
      <c r="E3" s="13"/>
    </row>
    <row r="4" spans="1:7" ht="29.45" customHeight="1">
      <c r="A4" s="14">
        <v>1</v>
      </c>
      <c r="B4" s="5" t="s">
        <v>6</v>
      </c>
      <c r="C4" s="15"/>
      <c r="D4" s="15"/>
      <c r="E4" s="16"/>
    </row>
    <row r="5" spans="1:7" ht="29.45" customHeight="1">
      <c r="A5" s="17" t="s">
        <v>7</v>
      </c>
      <c r="B5" s="18" t="s">
        <v>8</v>
      </c>
      <c r="C5" s="19" t="s">
        <v>9</v>
      </c>
      <c r="D5" s="20">
        <f>5*4/12*3</f>
        <v>5</v>
      </c>
      <c r="E5" s="21">
        <f>D5/24</f>
        <v>0.20833333333333334</v>
      </c>
      <c r="F5" s="34" t="s">
        <v>10</v>
      </c>
      <c r="G5" s="35">
        <f>SUMIF(C5:C10,"DE",E5:E10)</f>
        <v>0.375</v>
      </c>
    </row>
    <row r="6" spans="1:7" ht="29.45" customHeight="1">
      <c r="A6" s="17" t="s">
        <v>11</v>
      </c>
      <c r="B6" s="18" t="s">
        <v>12</v>
      </c>
      <c r="C6" s="19" t="s">
        <v>9</v>
      </c>
      <c r="D6" s="20">
        <v>2</v>
      </c>
      <c r="E6" s="21">
        <f t="shared" ref="E6:E10" si="0">D6/24</f>
        <v>8.3333333333333329E-2</v>
      </c>
      <c r="F6" s="34" t="s">
        <v>13</v>
      </c>
      <c r="G6" s="35">
        <f>SUMIF(C5:C10,"DA",E5:E10)</f>
        <v>0.41666666666666669</v>
      </c>
    </row>
    <row r="7" spans="1:7" ht="29.45" customHeight="1">
      <c r="A7" s="17" t="s">
        <v>14</v>
      </c>
      <c r="B7" s="18" t="s">
        <v>15</v>
      </c>
      <c r="C7" s="19" t="s">
        <v>16</v>
      </c>
      <c r="D7" s="20">
        <v>2</v>
      </c>
      <c r="E7" s="21">
        <f t="shared" si="0"/>
        <v>8.3333333333333329E-2</v>
      </c>
    </row>
    <row r="8" spans="1:7" ht="29.45" customHeight="1">
      <c r="A8" s="17" t="s">
        <v>17</v>
      </c>
      <c r="B8" s="18" t="s">
        <v>18</v>
      </c>
      <c r="C8" s="19" t="s">
        <v>16</v>
      </c>
      <c r="D8" s="20">
        <f>5</f>
        <v>5</v>
      </c>
      <c r="E8" s="21">
        <f t="shared" si="0"/>
        <v>0.20833333333333334</v>
      </c>
    </row>
    <row r="9" spans="1:7" ht="29.45" customHeight="1">
      <c r="A9" s="38" t="s">
        <v>19</v>
      </c>
      <c r="B9" s="36" t="s">
        <v>20</v>
      </c>
      <c r="C9" s="19" t="s">
        <v>9</v>
      </c>
      <c r="D9" s="20">
        <v>3</v>
      </c>
      <c r="E9" s="21">
        <f t="shared" si="0"/>
        <v>0.125</v>
      </c>
    </row>
    <row r="10" spans="1:7" ht="29.45" customHeight="1">
      <c r="A10" s="39"/>
      <c r="B10" s="37"/>
      <c r="C10" s="19" t="s">
        <v>16</v>
      </c>
      <c r="D10" s="20">
        <v>2</v>
      </c>
      <c r="E10" s="21">
        <f t="shared" si="0"/>
        <v>8.3333333333333329E-2</v>
      </c>
    </row>
    <row r="11" spans="1:7" ht="23.1" customHeight="1">
      <c r="A11" s="22" t="s">
        <v>21</v>
      </c>
      <c r="B11" s="23"/>
      <c r="C11" s="24"/>
      <c r="D11" s="24"/>
      <c r="E11" s="25"/>
    </row>
    <row r="12" spans="1:7" ht="30.6" customHeight="1">
      <c r="A12" s="19">
        <v>2</v>
      </c>
      <c r="B12" s="5" t="s">
        <v>22</v>
      </c>
      <c r="C12" s="15"/>
      <c r="D12" s="15"/>
      <c r="E12" s="16"/>
    </row>
    <row r="13" spans="1:7" ht="30.6" customHeight="1">
      <c r="A13" s="26">
        <v>2</v>
      </c>
      <c r="B13" s="4" t="s">
        <v>23</v>
      </c>
      <c r="C13" s="19" t="s">
        <v>9</v>
      </c>
      <c r="D13" s="20">
        <f>4*3/12*4</f>
        <v>4</v>
      </c>
      <c r="E13" s="21">
        <f t="shared" ref="E13:E25" si="1">D13/24</f>
        <v>0.16666666666666666</v>
      </c>
      <c r="F13" s="34" t="s">
        <v>13</v>
      </c>
      <c r="G13" s="35">
        <f>SUMIF(C13:C25,"DA",E13:E25)</f>
        <v>0.99999999999999989</v>
      </c>
    </row>
    <row r="14" spans="1:7" ht="30.6" customHeight="1">
      <c r="A14" s="26" t="s">
        <v>24</v>
      </c>
      <c r="B14" s="4" t="s">
        <v>25</v>
      </c>
      <c r="C14" s="19" t="s">
        <v>9</v>
      </c>
      <c r="D14" s="20">
        <f>4*3/12*4</f>
        <v>4</v>
      </c>
      <c r="E14" s="21">
        <f t="shared" si="1"/>
        <v>0.16666666666666666</v>
      </c>
      <c r="F14" s="34" t="s">
        <v>26</v>
      </c>
      <c r="G14" s="35">
        <f>SUMIF(C14:C26,"DS",E14:E26)</f>
        <v>0.58333333333333326</v>
      </c>
    </row>
    <row r="15" spans="1:7" ht="30.6" customHeight="1">
      <c r="A15" s="38" t="s">
        <v>27</v>
      </c>
      <c r="B15" s="43" t="s">
        <v>28</v>
      </c>
      <c r="C15" s="19" t="s">
        <v>9</v>
      </c>
      <c r="D15" s="20">
        <f>3*3/12*4+1</f>
        <v>4</v>
      </c>
      <c r="E15" s="21">
        <f t="shared" ref="E15:E16" si="2">D15/24</f>
        <v>0.16666666666666666</v>
      </c>
    </row>
    <row r="16" spans="1:7" ht="30.6" customHeight="1">
      <c r="A16" s="39"/>
      <c r="B16" s="44"/>
      <c r="C16" s="19" t="s">
        <v>29</v>
      </c>
      <c r="D16" s="20">
        <f>3*2/12*4+1</f>
        <v>3</v>
      </c>
      <c r="E16" s="21">
        <f t="shared" si="2"/>
        <v>0.125</v>
      </c>
    </row>
    <row r="17" spans="1:5" s="27" customFormat="1" ht="30.6" customHeight="1">
      <c r="A17" s="38" t="s">
        <v>30</v>
      </c>
      <c r="B17" s="41" t="s">
        <v>31</v>
      </c>
      <c r="C17" s="19" t="s">
        <v>9</v>
      </c>
      <c r="D17" s="20">
        <f>3*2/12*4+1</f>
        <v>3</v>
      </c>
      <c r="E17" s="21">
        <f t="shared" si="1"/>
        <v>0.125</v>
      </c>
    </row>
    <row r="18" spans="1:5" s="27" customFormat="1" ht="30.6" customHeight="1">
      <c r="A18" s="39"/>
      <c r="B18" s="42"/>
      <c r="C18" s="19" t="s">
        <v>29</v>
      </c>
      <c r="D18" s="20">
        <f>3*3/12*4+1</f>
        <v>4</v>
      </c>
      <c r="E18" s="21">
        <f t="shared" si="1"/>
        <v>0.16666666666666666</v>
      </c>
    </row>
    <row r="19" spans="1:5" s="27" customFormat="1" ht="30.6" customHeight="1">
      <c r="A19" s="38" t="s">
        <v>32</v>
      </c>
      <c r="B19" s="41" t="s">
        <v>33</v>
      </c>
      <c r="C19" s="19" t="s">
        <v>9</v>
      </c>
      <c r="D19" s="20">
        <f>3*3/12*4+1</f>
        <v>4</v>
      </c>
      <c r="E19" s="21">
        <f t="shared" si="1"/>
        <v>0.16666666666666666</v>
      </c>
    </row>
    <row r="20" spans="1:5" s="27" customFormat="1" ht="30.6" customHeight="1">
      <c r="A20" s="39"/>
      <c r="B20" s="42"/>
      <c r="C20" s="19" t="s">
        <v>29</v>
      </c>
      <c r="D20" s="20">
        <f>3*2/12*4+1</f>
        <v>3</v>
      </c>
      <c r="E20" s="21">
        <f t="shared" ref="E20" si="3">D20/24</f>
        <v>0.125</v>
      </c>
    </row>
    <row r="21" spans="1:5" s="27" customFormat="1" ht="30.6" customHeight="1">
      <c r="A21" s="38" t="s">
        <v>34</v>
      </c>
      <c r="B21" s="41" t="s">
        <v>31</v>
      </c>
      <c r="C21" s="19" t="s">
        <v>9</v>
      </c>
      <c r="D21" s="20">
        <f>3*2/12*4+1</f>
        <v>3</v>
      </c>
      <c r="E21" s="21">
        <f t="shared" ref="E21" si="4">D21/24</f>
        <v>0.125</v>
      </c>
    </row>
    <row r="22" spans="1:5" s="27" customFormat="1" ht="30.6" customHeight="1">
      <c r="A22" s="39"/>
      <c r="B22" s="42"/>
      <c r="C22" s="19" t="s">
        <v>29</v>
      </c>
      <c r="D22" s="20">
        <f>3*3/12*4+1</f>
        <v>4</v>
      </c>
      <c r="E22" s="21">
        <f t="shared" ref="E22" si="5">D22/24</f>
        <v>0.16666666666666666</v>
      </c>
    </row>
    <row r="23" spans="1:5" s="27" customFormat="1" ht="30.6" customHeight="1">
      <c r="A23" s="28">
        <v>3</v>
      </c>
      <c r="B23" s="6" t="s">
        <v>35</v>
      </c>
      <c r="C23" s="29"/>
      <c r="D23" s="29"/>
      <c r="E23" s="30"/>
    </row>
    <row r="24" spans="1:5" s="27" customFormat="1" ht="30.6" customHeight="1">
      <c r="A24" s="31" t="s">
        <v>36</v>
      </c>
      <c r="B24" s="7" t="s">
        <v>37</v>
      </c>
      <c r="C24" s="19" t="s">
        <v>9</v>
      </c>
      <c r="D24" s="20">
        <f>1*3/12*4</f>
        <v>1</v>
      </c>
      <c r="E24" s="21">
        <f t="shared" si="1"/>
        <v>4.1666666666666664E-2</v>
      </c>
    </row>
    <row r="25" spans="1:5" s="27" customFormat="1" ht="30.6" customHeight="1">
      <c r="A25" s="31" t="s">
        <v>38</v>
      </c>
      <c r="B25" s="7" t="s">
        <v>39</v>
      </c>
      <c r="C25" s="19" t="s">
        <v>9</v>
      </c>
      <c r="D25" s="20">
        <f>1*3/12*4</f>
        <v>1</v>
      </c>
      <c r="E25" s="21">
        <f t="shared" si="1"/>
        <v>4.1666666666666664E-2</v>
      </c>
    </row>
    <row r="26" spans="1:5" s="27" customFormat="1">
      <c r="C26" s="32"/>
      <c r="D26" s="33"/>
    </row>
    <row r="27" spans="1:5">
      <c r="C27" s="8"/>
    </row>
    <row r="28" spans="1:5">
      <c r="C28" s="8"/>
    </row>
  </sheetData>
  <mergeCells count="12">
    <mergeCell ref="B9:B10"/>
    <mergeCell ref="A9:A10"/>
    <mergeCell ref="A1:E1"/>
    <mergeCell ref="A2:B2"/>
    <mergeCell ref="B21:B22"/>
    <mergeCell ref="B17:B18"/>
    <mergeCell ref="B19:B20"/>
    <mergeCell ref="B15:B16"/>
    <mergeCell ref="A15:A16"/>
    <mergeCell ref="A17:A18"/>
    <mergeCell ref="A19:A20"/>
    <mergeCell ref="A21:A22"/>
  </mergeCells>
  <phoneticPr fontId="8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Tài liệu" ma:contentTypeID="0x01010005FFA18751C0744EA482910462967CE1" ma:contentTypeVersion="13" ma:contentTypeDescription="Tạo tài liệu mới." ma:contentTypeScope="" ma:versionID="149607384e6cc6f1909c7835c20f76dc">
  <xsd:schema xmlns:xsd="http://www.w3.org/2001/XMLSchema" xmlns:xs="http://www.w3.org/2001/XMLSchema" xmlns:p="http://schemas.microsoft.com/office/2006/metadata/properties" xmlns:ns2="6bc95d49-17e3-4d0a-929b-830fe3aa2f74" xmlns:ns3="cb815603-3128-4aee-956f-7cdc70044e75" targetNamespace="http://schemas.microsoft.com/office/2006/metadata/properties" ma:root="true" ma:fieldsID="48f643cd149c0182bb96bd2f11a92bc5" ns2:_="" ns3:_="">
    <xsd:import namespace="6bc95d49-17e3-4d0a-929b-830fe3aa2f74"/>
    <xsd:import namespace="cb815603-3128-4aee-956f-7cdc70044e75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ObjectDetectorVersions" minOccurs="0"/>
                <xsd:element ref="ns3:MediaServiceSearchProperties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c95d49-17e3-4d0a-929b-830fe3aa2f74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hia sẻ Với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Chia sẻ Có Chi tiết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161b4626-123e-4a80-8203-a9e0f94ea154}" ma:internalName="TaxCatchAll" ma:showField="CatchAllData" ma:web="6bc95d49-17e3-4d0a-929b-830fe3aa2f7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815603-3128-4aee-956f-7cdc70044e7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Thẻ Hình ảnh" ma:readOnly="false" ma:fieldId="{5cf76f15-5ced-4ddc-b409-7134ff3c332f}" ma:taxonomyMulti="true" ma:sspId="fe08bad7-0531-4e50-a3a8-7b1f718b4e4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Loại Nội dung"/>
        <xsd:element ref="dc:title" minOccurs="0" maxOccurs="1" ma:index="4" ma:displayName="Tiêu đề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b815603-3128-4aee-956f-7cdc70044e75">
      <Terms xmlns="http://schemas.microsoft.com/office/infopath/2007/PartnerControls"/>
    </lcf76f155ced4ddcb4097134ff3c332f>
    <TaxCatchAll xmlns="6bc95d49-17e3-4d0a-929b-830fe3aa2f74" xsi:nil="true"/>
  </documentManagement>
</p:properties>
</file>

<file path=customXml/itemProps1.xml><?xml version="1.0" encoding="utf-8"?>
<ds:datastoreItem xmlns:ds="http://schemas.openxmlformats.org/officeDocument/2006/customXml" ds:itemID="{4A0222C5-6235-42D8-A5E7-C063FAE61652}"/>
</file>

<file path=customXml/itemProps2.xml><?xml version="1.0" encoding="utf-8"?>
<ds:datastoreItem xmlns:ds="http://schemas.openxmlformats.org/officeDocument/2006/customXml" ds:itemID="{49318AAD-DA1D-4958-B3B3-E53E0D131178}"/>
</file>

<file path=customXml/itemProps3.xml><?xml version="1.0" encoding="utf-8"?>
<ds:datastoreItem xmlns:ds="http://schemas.openxmlformats.org/officeDocument/2006/customXml" ds:itemID="{0F88FC2D-BAE7-45C8-9ECC-7F8F825E63C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Nguyễn Khánh Quỳnh</dc:creator>
  <cp:keywords/>
  <dc:description/>
  <cp:lastModifiedBy>[TTS] Nguyễn Thị Hải Yến</cp:lastModifiedBy>
  <cp:revision/>
  <dcterms:created xsi:type="dcterms:W3CDTF">2024-04-01T09:04:40Z</dcterms:created>
  <dcterms:modified xsi:type="dcterms:W3CDTF">2024-07-05T10:31:46Z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0x01010005FFA18751C0744EA482910462967CE1</vt:lpwstr>
  </property>
</Properties>
</file>